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<sst xmlns="http://schemas.openxmlformats.org/spreadsheetml/2006/main" count="77" uniqueCount="45">
  <si>
    <t xml:space="preserve">tiempo entre pulsos en segundos</t>
  </si>
  <si>
    <t xml:space="preserve">tiempo entre pulsos en milisegundos</t>
  </si>
  <si>
    <t xml:space="preserve">en horas</t>
  </si>
  <si>
    <t xml:space="preserve">instantáneous demand</t>
  </si>
  <si>
    <t xml:space="preserve">Máximo uint32</t>
  </si>
  <si>
    <t xml:space="preserve">en segundos</t>
  </si>
  <si>
    <t xml:space="preserve">en días</t>
  </si>
  <si>
    <t xml:space="preserve">Escenarios</t>
  </si>
  <si>
    <t xml:space="preserve">Consumo en 1 hora</t>
  </si>
  <si>
    <t xml:space="preserve">abrió</t>
  </si>
  <si>
    <t xml:space="preserve">Mejor</t>
  </si>
  <si>
    <t xml:space="preserve">Peor</t>
  </si>
  <si>
    <t xml:space="preserve">Medio</t>
  </si>
  <si>
    <t xml:space="preserve">cerró</t>
  </si>
  <si>
    <t xml:space="preserve">Consumo reposo</t>
  </si>
  <si>
    <t xml:space="preserve">mA/h</t>
  </si>
  <si>
    <t xml:space="preserve">Consumo operando</t>
  </si>
  <si>
    <t xml:space="preserve">mA</t>
  </si>
  <si>
    <t xml:space="preserve">Consumo en 1 día</t>
  </si>
  <si>
    <t xml:space="preserve">Estimación de consumo</t>
  </si>
  <si>
    <t xml:space="preserve">Horas</t>
  </si>
  <si>
    <t xml:space="preserve">Batería</t>
  </si>
  <si>
    <t xml:space="preserve">Batería para 1 año</t>
  </si>
  <si>
    <t xml:space="preserve">días</t>
  </si>
  <si>
    <t xml:space="preserve">Resistencias para una batería de hasta 8.4v</t>
  </si>
  <si>
    <t xml:space="preserve">r</t>
  </si>
  <si>
    <t xml:space="preserve">v</t>
  </si>
  <si>
    <t xml:space="preserve">i</t>
  </si>
  <si>
    <t xml:space="preserve">Vbat</t>
  </si>
  <si>
    <t xml:space="preserve">Vchg</t>
  </si>
  <si>
    <t xml:space="preserve">R1</t>
  </si>
  <si>
    <t xml:space="preserve">R2</t>
  </si>
  <si>
    <t xml:space="preserve">mA en R1</t>
  </si>
  <si>
    <t xml:space="preserve">(r1+r2)/r2</t>
  </si>
  <si>
    <t xml:space="preserve">m</t>
  </si>
  <si>
    <t xml:space="preserve">Measured voltage</t>
  </si>
  <si>
    <t xml:space="preserve">Battery calculated</t>
  </si>
  <si>
    <t xml:space="preserve">b</t>
  </si>
  <si>
    <t xml:space="preserve">Diferencia de voltaje</t>
  </si>
  <si>
    <t xml:space="preserve">conversión</t>
  </si>
  <si>
    <t xml:space="preserve">Para calcular el % de batería que hay realizamos esta operación</t>
  </si>
  <si>
    <t xml:space="preserve">ratio para calcular el %</t>
  </si>
  <si>
    <t xml:space="preserve">Valor a enviar como % que va desde 0 a 200</t>
  </si>
  <si>
    <t xml:space="preserve">A 3,3v le asignamos el 100</t>
  </si>
  <si>
    <t xml:space="preserve">A 1,88v le asignamos el 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</si>
</sst>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h:mm:ss"/>
    <numFmt numFmtId="167" formatCode="0.000000"/>
    <numFmt numFmtId="168" formatCode="0"/>
    <numFmt numFmtId="169" formatCode="0.000"/>
    <numFmt numFmtId="170" formatCode="0.0000"/>
    <numFmt numFmtId="171" formatCode="0\ %"/>
  </numFmts>
  <fonts count="7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b val="true"/>
      <sz val="20"/>
      <color rgb="FF595959"/>
      <name val="Aptos Narrow"/>
      <family val="2"/>
    </font>
    <font>
      <sz val="9"/>
      <color rgb="FF595959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Aptos Narrow"/>
              </a:rPr>
              <a:t>Vchg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Hoja1!$W$37</c:f>
              <c:strCache>
                <c:ptCount val="1"/>
                <c:pt idx="0">
                  <c:v>Vchg</c:v>
                </c:pt>
              </c:strCache>
            </c:strRef>
          </c:tx>
          <c:spPr>
            <a:solidFill>
              <a:srgbClr val="e97132"/>
            </a:solidFill>
            <a:ln cap="rnd" w="28440">
              <a:solidFill>
                <a:srgbClr val="e97132"/>
              </a:solidFill>
              <a:round/>
            </a:ln>
          </c:spPr>
          <c:marker>
            <c:symbol val="circle"/>
            <c:size val="5"/>
            <c:spPr>
              <a:solidFill>
                <a:srgbClr val="e97132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e97132"/>
                </a:solidFill>
                <a:prstDash val="sysDot"/>
                <a:round/>
              </a:ln>
            </c:spPr>
            <c:trendlineType val="linear"/>
            <c:forward val="0.15"/>
            <c:backward val="0.15"/>
            <c:dispRSqr val="0"/>
            <c:dispEq val="1"/>
          </c:trendline>
          <c:xVal>
            <c:numRef>
              <c:f>Hoja1!$W$38:$W$47</c:f>
              <c:numCache>
                <c:formatCode>General</c:formatCode>
                <c:ptCount val="10"/>
                <c:pt idx="0">
                  <c:v>3.3</c:v>
                </c:pt>
                <c:pt idx="1">
                  <c:v>3.14</c:v>
                </c:pt>
                <c:pt idx="2">
                  <c:v>2.98</c:v>
                </c:pt>
                <c:pt idx="3">
                  <c:v>2.83</c:v>
                </c:pt>
                <c:pt idx="4">
                  <c:v>2.67</c:v>
                </c:pt>
                <c:pt idx="5">
                  <c:v>2.51</c:v>
                </c:pt>
                <c:pt idx="6">
                  <c:v>2.35</c:v>
                </c:pt>
                <c:pt idx="7">
                  <c:v>2.2</c:v>
                </c:pt>
                <c:pt idx="8">
                  <c:v>2.04</c:v>
                </c:pt>
                <c:pt idx="9">
                  <c:v>1.88</c:v>
                </c:pt>
              </c:numCache>
            </c:numRef>
          </c:xVal>
          <c:yVal>
            <c:numRef>
              <c:f>Hoja1!$V$38:$V$47</c:f>
              <c:numCache>
                <c:formatCode>General</c:formatCode>
                <c:ptCount val="10"/>
                <c:pt idx="0">
                  <c:v>4.2</c:v>
                </c:pt>
                <c:pt idx="1">
                  <c:v>4</c:v>
                </c:pt>
                <c:pt idx="2">
                  <c:v>3.8</c:v>
                </c:pt>
                <c:pt idx="3">
                  <c:v>3.6</c:v>
                </c:pt>
                <c:pt idx="4">
                  <c:v>3.4</c:v>
                </c:pt>
                <c:pt idx="5">
                  <c:v>3.2</c:v>
                </c:pt>
                <c:pt idx="6">
                  <c:v>3</c:v>
                </c:pt>
                <c:pt idx="7">
                  <c:v>2.8</c:v>
                </c:pt>
                <c:pt idx="8">
                  <c:v>2.6</c:v>
                </c:pt>
                <c:pt idx="9">
                  <c:v>2.4</c:v>
                </c:pt>
              </c:numCache>
            </c:numRef>
          </c:yVal>
          <c:smooth val="0"/>
        </c:ser>
        <c:axId val="63445332"/>
        <c:axId val="21017857"/>
      </c:scatterChart>
      <c:valAx>
        <c:axId val="634453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21017857"/>
        <c:crosses val="autoZero"/>
        <c:crossBetween val="midCat"/>
      </c:valAx>
      <c:valAx>
        <c:axId val="21017857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Aptos Narrow"/>
              </a:defRPr>
            </a:pPr>
          </a:p>
        </c:txPr>
        <c:crossAx val="6344533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Aptos Narrow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156082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431640</xdr:colOff>
      <xdr:row>37</xdr:row>
      <xdr:rowOff>177840</xdr:rowOff>
    </xdr:from>
    <xdr:to>
      <xdr:col>13</xdr:col>
      <xdr:colOff>416520</xdr:colOff>
      <xdr:row>42</xdr:row>
      <xdr:rowOff>101160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12989520" y="7578720"/>
          <a:ext cx="3308400" cy="923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609480</xdr:colOff>
      <xdr:row>31</xdr:row>
      <xdr:rowOff>114480</xdr:rowOff>
    </xdr:from>
    <xdr:to>
      <xdr:col>10</xdr:col>
      <xdr:colOff>320400</xdr:colOff>
      <xdr:row>49</xdr:row>
      <xdr:rowOff>190440</xdr:rowOff>
    </xdr:to>
    <xdr:pic>
      <xdr:nvPicPr>
        <xdr:cNvPr id="1" name="Imagen 3" descr=""/>
        <xdr:cNvPicPr/>
      </xdr:nvPicPr>
      <xdr:blipFill>
        <a:blip r:embed="rId2"/>
        <a:stretch/>
      </xdr:blipFill>
      <xdr:spPr>
        <a:xfrm>
          <a:off x="7743600" y="6315120"/>
          <a:ext cx="5134680" cy="3676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23</xdr:col>
      <xdr:colOff>317520</xdr:colOff>
      <xdr:row>30</xdr:row>
      <xdr:rowOff>63360</xdr:rowOff>
    </xdr:from>
    <xdr:to>
      <xdr:col>33</xdr:col>
      <xdr:colOff>748800</xdr:colOff>
      <xdr:row>55</xdr:row>
      <xdr:rowOff>12240</xdr:rowOff>
    </xdr:to>
    <xdr:graphicFrame>
      <xdr:nvGraphicFramePr>
        <xdr:cNvPr id="2" name="Gráfico 2"/>
        <xdr:cNvGraphicFramePr/>
      </xdr:nvGraphicFramePr>
      <xdr:xfrm>
        <a:off x="29147760" y="6064200"/>
        <a:ext cx="10623240" cy="494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W1048576"/>
  <sheetViews>
    <sheetView showFormulas="false" showGridLines="true" showRowColHeaders="true" showZeros="true" rightToLeft="false" tabSelected="true" showOutlineSymbols="true" defaultGridColor="true" view="normal" topLeftCell="J38" colorId="64" zoomScale="100" zoomScaleNormal="100" zoomScalePageLayoutView="100" workbookViewId="0">
      <selection pane="topLeft" activeCell="U59" activeCellId="0" sqref="U59"/>
    </sheetView>
  </sheetViews>
  <sheetFormatPr defaultColWidth="10.4921875" defaultRowHeight="15.75" customHeight="true" zeroHeight="false" outlineLevelRow="0" outlineLevelCol="0"/>
  <cols>
    <col collapsed="false" customWidth="true" hidden="false" outlineLevel="0" max="9" min="9" style="0" width="22.83"/>
    <col collapsed="false" customWidth="true" hidden="false" outlineLevel="0" max="10" min="10" style="0" width="22.5"/>
    <col collapsed="false" customWidth="true" hidden="false" outlineLevel="0" max="12" min="12" style="0" width="14.84"/>
    <col collapsed="false" customWidth="true" hidden="false" outlineLevel="0" max="13" min="13" style="0" width="8.88"/>
    <col collapsed="false" customWidth="true" hidden="false" outlineLevel="0" max="15" min="15" style="0" width="18.16"/>
    <col collapsed="false" customWidth="true" hidden="false" outlineLevel="0" max="17" min="17" style="0" width="15.83"/>
    <col collapsed="false" customWidth="true" hidden="false" outlineLevel="0" max="18" min="18" style="0" width="11.33"/>
    <col collapsed="false" customWidth="true" hidden="false" outlineLevel="0" max="19" min="19" style="0" width="21"/>
    <col collapsed="false" customWidth="true" hidden="false" outlineLevel="0" max="20" min="20" style="0" width="14.5"/>
  </cols>
  <sheetData>
    <row r="2" customFormat="false" ht="15.75" hidden="false" customHeight="false" outlineLevel="0" collapsed="false">
      <c r="C2" s="0" t="s">
        <v>0</v>
      </c>
      <c r="F2" s="0" t="s">
        <v>1</v>
      </c>
      <c r="G2" s="0" t="s">
        <v>2</v>
      </c>
      <c r="I2" s="0" t="s">
        <v>3</v>
      </c>
      <c r="J2" s="0" t="s">
        <v>4</v>
      </c>
    </row>
    <row r="3" customFormat="false" ht="15.75" hidden="false" customHeight="false" outlineLevel="0" collapsed="false">
      <c r="C3" s="0" t="n">
        <v>60</v>
      </c>
      <c r="F3" s="0" t="n">
        <f aca="false">C3*1000</f>
        <v>60000</v>
      </c>
      <c r="G3" s="0" t="n">
        <f aca="false">C3/3600</f>
        <v>0.0166666666666667</v>
      </c>
      <c r="I3" s="1" t="n">
        <f aca="false">0.01/G3</f>
        <v>0.6</v>
      </c>
      <c r="J3" s="0" t="n">
        <v>4294967295</v>
      </c>
    </row>
    <row r="4" customFormat="false" ht="15.75" hidden="false" customHeight="false" outlineLevel="0" collapsed="false">
      <c r="C4" s="0" t="n">
        <v>30</v>
      </c>
      <c r="F4" s="0" t="n">
        <f aca="false">C4*1000</f>
        <v>30000</v>
      </c>
      <c r="G4" s="0" t="n">
        <f aca="false">C4/3600</f>
        <v>0.00833333333333333</v>
      </c>
      <c r="I4" s="1" t="n">
        <f aca="false">0.01/G4</f>
        <v>1.2</v>
      </c>
    </row>
    <row r="5" customFormat="false" ht="15.75" hidden="false" customHeight="false" outlineLevel="0" collapsed="false">
      <c r="C5" s="0" t="n">
        <v>3600</v>
      </c>
      <c r="F5" s="0" t="n">
        <f aca="false">C5*1000</f>
        <v>3600000</v>
      </c>
      <c r="G5" s="0" t="n">
        <f aca="false">C5/3600</f>
        <v>1</v>
      </c>
      <c r="I5" s="1" t="n">
        <f aca="false">0.01/G5</f>
        <v>0.01</v>
      </c>
      <c r="J5" s="0" t="n">
        <f aca="false">J3/1000</f>
        <v>4294967.295</v>
      </c>
      <c r="K5" s="0" t="s">
        <v>5</v>
      </c>
    </row>
    <row r="6" customFormat="false" ht="15.75" hidden="false" customHeight="false" outlineLevel="0" collapsed="false">
      <c r="C6" s="0" t="n">
        <v>10</v>
      </c>
      <c r="F6" s="0" t="n">
        <f aca="false">C6*1000</f>
        <v>10000</v>
      </c>
      <c r="G6" s="0" t="n">
        <f aca="false">C6/3600</f>
        <v>0.00277777777777778</v>
      </c>
      <c r="I6" s="1" t="n">
        <f aca="false">0.01/G6</f>
        <v>3.6</v>
      </c>
      <c r="J6" s="0" t="n">
        <f aca="false">J5/3600</f>
        <v>1193.04647083333</v>
      </c>
      <c r="K6" s="0" t="s">
        <v>2</v>
      </c>
    </row>
    <row r="7" customFormat="false" ht="15.75" hidden="false" customHeight="false" outlineLevel="0" collapsed="false">
      <c r="C7" s="0" t="n">
        <v>1</v>
      </c>
      <c r="F7" s="0" t="n">
        <f aca="false">C7*1000</f>
        <v>1000</v>
      </c>
      <c r="G7" s="0" t="n">
        <f aca="false">C7/3600</f>
        <v>0.000277777777777778</v>
      </c>
      <c r="I7" s="1" t="n">
        <f aca="false">0.01/G7</f>
        <v>36</v>
      </c>
      <c r="J7" s="0" t="n">
        <f aca="false">J6/24</f>
        <v>49.7102696180556</v>
      </c>
      <c r="K7" s="0" t="s">
        <v>6</v>
      </c>
    </row>
    <row r="8" customFormat="false" ht="15.75" hidden="false" customHeight="false" outlineLevel="0" collapsed="false">
      <c r="C8" s="0" t="n">
        <v>5</v>
      </c>
      <c r="F8" s="0" t="n">
        <f aca="false">C8*1000</f>
        <v>5000</v>
      </c>
      <c r="G8" s="0" t="n">
        <f aca="false">C8/3600</f>
        <v>0.00138888888888889</v>
      </c>
      <c r="I8" s="1" t="n">
        <f aca="false">0.01/G8</f>
        <v>7.2</v>
      </c>
    </row>
    <row r="9" customFormat="false" ht="15.75" hidden="false" customHeight="false" outlineLevel="0" collapsed="false">
      <c r="C9" s="0" t="n">
        <v>12</v>
      </c>
      <c r="F9" s="0" t="n">
        <f aca="false">C9*1000</f>
        <v>12000</v>
      </c>
      <c r="G9" s="0" t="n">
        <f aca="false">C9/3600</f>
        <v>0.00333333333333333</v>
      </c>
      <c r="I9" s="1" t="n">
        <f aca="false">0.01/G9</f>
        <v>3</v>
      </c>
    </row>
    <row r="12" customFormat="false" ht="15.75" hidden="false" customHeight="false" outlineLevel="0" collapsed="false">
      <c r="L12" s="0" t="s">
        <v>7</v>
      </c>
      <c r="O12" s="0" t="s">
        <v>8</v>
      </c>
    </row>
    <row r="13" customFormat="false" ht="15.75" hidden="false" customHeight="false" outlineLevel="0" collapsed="false">
      <c r="D13" s="0" t="s">
        <v>9</v>
      </c>
      <c r="E13" s="2" t="n">
        <v>0.791319444444445</v>
      </c>
      <c r="F13" s="2" t="n">
        <f aca="false">E13-E14</f>
        <v>1.15740740740389E-005</v>
      </c>
      <c r="L13" s="0" t="s">
        <v>10</v>
      </c>
      <c r="M13" s="0" t="s">
        <v>11</v>
      </c>
      <c r="N13" s="0" t="s">
        <v>12</v>
      </c>
      <c r="O13" s="0" t="s">
        <v>10</v>
      </c>
      <c r="P13" s="0" t="s">
        <v>11</v>
      </c>
      <c r="Q13" s="0" t="s">
        <v>12</v>
      </c>
    </row>
    <row r="14" customFormat="false" ht="15.75" hidden="false" customHeight="false" outlineLevel="0" collapsed="false">
      <c r="D14" s="0" t="s">
        <v>13</v>
      </c>
      <c r="E14" s="2" t="n">
        <v>0.79130787037037</v>
      </c>
      <c r="F14" s="2" t="n">
        <f aca="false">E14-E15</f>
        <v>0.000104166666666667</v>
      </c>
      <c r="I14" s="0" t="s">
        <v>14</v>
      </c>
      <c r="J14" s="0" t="n">
        <v>0.0085</v>
      </c>
      <c r="K14" s="0" t="s">
        <v>15</v>
      </c>
      <c r="L14" s="1" t="n">
        <f aca="false">58/60</f>
        <v>0.966666666666667</v>
      </c>
      <c r="M14" s="1" t="n">
        <v>0</v>
      </c>
      <c r="N14" s="1" t="n">
        <v>0.5</v>
      </c>
      <c r="O14" s="1" t="n">
        <f aca="false">J14*L14</f>
        <v>0.00821666666666667</v>
      </c>
      <c r="P14" s="1" t="n">
        <f aca="false">J14*M14</f>
        <v>0</v>
      </c>
      <c r="Q14" s="1" t="n">
        <f aca="false">J14*N14</f>
        <v>0.00425</v>
      </c>
    </row>
    <row r="15" customFormat="false" ht="15.75" hidden="false" customHeight="false" outlineLevel="0" collapsed="false">
      <c r="D15" s="0" t="s">
        <v>9</v>
      </c>
      <c r="E15" s="2" t="n">
        <v>0.791203703703704</v>
      </c>
      <c r="F15" s="2" t="n">
        <f aca="false">E15-E16</f>
        <v>2.31481481481481E-005</v>
      </c>
      <c r="I15" s="0" t="s">
        <v>16</v>
      </c>
      <c r="J15" s="0" t="n">
        <v>78.5</v>
      </c>
      <c r="K15" s="0" t="s">
        <v>15</v>
      </c>
      <c r="L15" s="1" t="n">
        <f aca="false">2/60</f>
        <v>0.0333333333333333</v>
      </c>
      <c r="M15" s="1" t="n">
        <v>1</v>
      </c>
      <c r="N15" s="1" t="n">
        <v>0.5</v>
      </c>
      <c r="O15" s="1" t="n">
        <f aca="false">J15*L15</f>
        <v>2.61666666666667</v>
      </c>
      <c r="P15" s="1" t="n">
        <f aca="false">J15*M15</f>
        <v>78.5</v>
      </c>
      <c r="Q15" s="1" t="n">
        <f aca="false">J15*N15</f>
        <v>39.25</v>
      </c>
    </row>
    <row r="16" customFormat="false" ht="15.75" hidden="false" customHeight="false" outlineLevel="0" collapsed="false">
      <c r="D16" s="0" t="s">
        <v>13</v>
      </c>
      <c r="E16" s="2" t="n">
        <v>0.791180555555556</v>
      </c>
      <c r="F16" s="2" t="n">
        <f aca="false">E16-E17</f>
        <v>9.25925925925926E-005</v>
      </c>
      <c r="L16" s="1"/>
      <c r="O16" s="3" t="n">
        <f aca="false">SUM(O14:O15)</f>
        <v>2.62488333333333</v>
      </c>
      <c r="P16" s="3" t="n">
        <f aca="false">SUM(P14:P15)</f>
        <v>78.5</v>
      </c>
      <c r="Q16" s="3" t="n">
        <f aca="false">SUM(Q14:Q15)</f>
        <v>39.25425</v>
      </c>
      <c r="R16" s="4" t="s">
        <v>17</v>
      </c>
    </row>
    <row r="17" customFormat="false" ht="15.75" hidden="false" customHeight="false" outlineLevel="0" collapsed="false">
      <c r="D17" s="0" t="s">
        <v>9</v>
      </c>
      <c r="E17" s="2" t="n">
        <v>0.791087962962963</v>
      </c>
      <c r="F17" s="2" t="n">
        <f aca="false">E17-E18</f>
        <v>1.15740740740741E-005</v>
      </c>
      <c r="O17" s="0" t="n">
        <f aca="false">O16*24</f>
        <v>62.9972</v>
      </c>
      <c r="P17" s="0" t="n">
        <f aca="false">P16*24</f>
        <v>1884</v>
      </c>
      <c r="Q17" s="0" t="n">
        <f aca="false">Q16*24</f>
        <v>942.102</v>
      </c>
      <c r="R17" s="0" t="s">
        <v>17</v>
      </c>
      <c r="S17" s="0" t="s">
        <v>18</v>
      </c>
    </row>
    <row r="18" customFormat="false" ht="15.75" hidden="false" customHeight="false" outlineLevel="0" collapsed="false">
      <c r="D18" s="0" t="s">
        <v>13</v>
      </c>
      <c r="E18" s="2" t="n">
        <v>0.791076388888889</v>
      </c>
      <c r="F18" s="2" t="n">
        <f aca="false">E18-E19</f>
        <v>9.25925925925926E-005</v>
      </c>
    </row>
    <row r="19" customFormat="false" ht="15.75" hidden="false" customHeight="false" outlineLevel="0" collapsed="false">
      <c r="D19" s="0" t="s">
        <v>9</v>
      </c>
      <c r="E19" s="2" t="n">
        <v>0.790983796296296</v>
      </c>
      <c r="F19" s="2" t="n">
        <f aca="false">E19-E20</f>
        <v>0</v>
      </c>
    </row>
    <row r="20" customFormat="false" ht="15.75" hidden="false" customHeight="false" outlineLevel="0" collapsed="false">
      <c r="D20" s="0" t="s">
        <v>13</v>
      </c>
      <c r="E20" s="2" t="n">
        <v>0.790983796296296</v>
      </c>
      <c r="F20" s="2" t="n">
        <f aca="false">E20-E21</f>
        <v>9.25925925925926E-005</v>
      </c>
      <c r="J20" s="0" t="s">
        <v>19</v>
      </c>
      <c r="L20" s="0" t="s">
        <v>20</v>
      </c>
      <c r="O20" s="0" t="s">
        <v>21</v>
      </c>
      <c r="Q20" s="0" t="s">
        <v>22</v>
      </c>
    </row>
    <row r="21" customFormat="false" ht="15.75" hidden="false" customHeight="false" outlineLevel="0" collapsed="false">
      <c r="D21" s="0" t="s">
        <v>9</v>
      </c>
      <c r="E21" s="2" t="n">
        <v>0.790891203703704</v>
      </c>
      <c r="F21" s="2" t="n">
        <f aca="false">E21-E22</f>
        <v>1.15740740740741E-005</v>
      </c>
      <c r="L21" s="0" t="n">
        <v>24</v>
      </c>
      <c r="M21" s="0" t="n">
        <f aca="false">O16*L21</f>
        <v>62.9972</v>
      </c>
      <c r="N21" s="0" t="str">
        <f aca="false">"mA/"&amp;L21&amp;"h"</f>
        <v>mA/24h</v>
      </c>
      <c r="O21" s="0" t="n">
        <v>5000</v>
      </c>
      <c r="P21" s="0" t="s">
        <v>15</v>
      </c>
      <c r="Q21" s="0" t="n">
        <f aca="false">365*M21</f>
        <v>22993.978</v>
      </c>
      <c r="R21" s="0" t="s">
        <v>15</v>
      </c>
    </row>
    <row r="22" customFormat="false" ht="15.75" hidden="false" customHeight="false" outlineLevel="0" collapsed="false">
      <c r="D22" s="0" t="s">
        <v>13</v>
      </c>
      <c r="E22" s="2" t="n">
        <v>0.79087962962963</v>
      </c>
      <c r="F22" s="2" t="n">
        <f aca="false">E22-E23</f>
        <v>8.10185185185185E-005</v>
      </c>
      <c r="O22" s="5" t="n">
        <f aca="false">O21/M21</f>
        <v>79.3686068587175</v>
      </c>
      <c r="P22" s="0" t="s">
        <v>23</v>
      </c>
    </row>
    <row r="23" customFormat="false" ht="15.75" hidden="false" customHeight="false" outlineLevel="0" collapsed="false">
      <c r="D23" s="0" t="s">
        <v>9</v>
      </c>
      <c r="E23" s="2" t="n">
        <v>0.790798611111111</v>
      </c>
      <c r="F23" s="2" t="n">
        <f aca="false">E23-E24</f>
        <v>0</v>
      </c>
    </row>
    <row r="24" customFormat="false" ht="15.75" hidden="false" customHeight="false" outlineLevel="0" collapsed="false">
      <c r="D24" s="0" t="s">
        <v>13</v>
      </c>
      <c r="E24" s="2" t="n">
        <v>0.790798611111111</v>
      </c>
      <c r="F24" s="2" t="n">
        <f aca="false">E24-E25</f>
        <v>0.790798611111111</v>
      </c>
    </row>
    <row r="27" customFormat="false" ht="15.75" hidden="false" customHeight="false" outlineLevel="0" collapsed="false">
      <c r="J27" s="0" t="n">
        <v>0.007</v>
      </c>
    </row>
    <row r="28" customFormat="false" ht="15.75" hidden="false" customHeight="false" outlineLevel="0" collapsed="false">
      <c r="J28" s="0" t="n">
        <f aca="false">J14/J27</f>
        <v>1.21428571428571</v>
      </c>
    </row>
    <row r="31" customFormat="false" ht="15.75" hidden="false" customHeight="false" outlineLevel="0" collapsed="false">
      <c r="O31" s="0" t="s">
        <v>24</v>
      </c>
    </row>
    <row r="32" customFormat="false" ht="15.75" hidden="false" customHeight="false" outlineLevel="0" collapsed="false">
      <c r="L32" s="0" t="n">
        <v>5100</v>
      </c>
      <c r="M32" s="0" t="s">
        <v>25</v>
      </c>
    </row>
    <row r="33" customFormat="false" ht="15.75" hidden="false" customHeight="false" outlineLevel="0" collapsed="false">
      <c r="L33" s="0" t="n">
        <v>3.3</v>
      </c>
      <c r="M33" s="0" t="s">
        <v>26</v>
      </c>
    </row>
    <row r="34" customFormat="false" ht="15.75" hidden="false" customHeight="false" outlineLevel="0" collapsed="false">
      <c r="L34" s="6" t="n">
        <f aca="false">L33/L32</f>
        <v>0.000647058823529412</v>
      </c>
      <c r="M34" s="0" t="s">
        <v>27</v>
      </c>
      <c r="O34" s="0" t="s">
        <v>28</v>
      </c>
      <c r="P34" s="0" t="n">
        <v>4.2</v>
      </c>
      <c r="R34" s="0" t="n">
        <f aca="false">P34-P35</f>
        <v>0.9</v>
      </c>
    </row>
    <row r="35" customFormat="false" ht="15.75" hidden="false" customHeight="false" outlineLevel="0" collapsed="false">
      <c r="O35" s="0" t="s">
        <v>29</v>
      </c>
      <c r="P35" s="0" t="n">
        <v>3.3</v>
      </c>
      <c r="R35" s="0" t="n">
        <f aca="false">R34/P35</f>
        <v>0.272727272727273</v>
      </c>
    </row>
    <row r="36" customFormat="false" ht="15.75" hidden="false" customHeight="false" outlineLevel="0" collapsed="false">
      <c r="R36" s="0" t="n">
        <f aca="false">P35/R34</f>
        <v>3.66666666666667</v>
      </c>
    </row>
    <row r="37" customFormat="false" ht="15.75" hidden="false" customHeight="false" outlineLevel="0" collapsed="false">
      <c r="V37" s="0" t="s">
        <v>28</v>
      </c>
      <c r="W37" s="0" t="s">
        <v>29</v>
      </c>
    </row>
    <row r="38" customFormat="false" ht="15.75" hidden="false" customHeight="false" outlineLevel="0" collapsed="false">
      <c r="V38" s="0" t="n">
        <v>4.2</v>
      </c>
      <c r="W38" s="0" t="n">
        <v>3.3</v>
      </c>
    </row>
    <row r="39" customFormat="false" ht="15.75" hidden="false" customHeight="false" outlineLevel="0" collapsed="false">
      <c r="O39" s="0" t="str">
        <f aca="false">"Calculations says that R1 must be "&amp;R35&amp;" times the value of R2"</f>
        <v>Calculations says that R1 must be 0,272727272727273 times the value of R2</v>
      </c>
      <c r="V39" s="0" t="n">
        <v>4</v>
      </c>
      <c r="W39" s="0" t="n">
        <v>3.14</v>
      </c>
    </row>
    <row r="40" customFormat="false" ht="15.75" hidden="false" customHeight="false" outlineLevel="0" collapsed="false">
      <c r="O40" s="0" t="str">
        <f aca="false">"Calculations says that R2 must be "&amp;R36&amp;" times the value of R1"</f>
        <v>Calculations says that R2 must be 3,66666666666667 times the value of R1</v>
      </c>
      <c r="V40" s="0" t="n">
        <v>3.8</v>
      </c>
      <c r="W40" s="0" t="n">
        <v>2.98</v>
      </c>
    </row>
    <row r="41" customFormat="false" ht="15.75" hidden="false" customHeight="false" outlineLevel="0" collapsed="false">
      <c r="V41" s="0" t="n">
        <v>3.6</v>
      </c>
      <c r="W41" s="0" t="n">
        <v>2.83</v>
      </c>
    </row>
    <row r="42" customFormat="false" ht="15.75" hidden="false" customHeight="false" outlineLevel="0" collapsed="false">
      <c r="O42" s="0" t="s">
        <v>30</v>
      </c>
      <c r="P42" s="0" t="s">
        <v>31</v>
      </c>
      <c r="Q42" s="0" t="s">
        <v>17</v>
      </c>
      <c r="R42" s="0" t="s">
        <v>32</v>
      </c>
      <c r="S42" s="0" t="s">
        <v>33</v>
      </c>
      <c r="V42" s="0" t="n">
        <v>3.4</v>
      </c>
      <c r="W42" s="0" t="n">
        <v>2.67</v>
      </c>
    </row>
    <row r="43" customFormat="false" ht="15.75" hidden="false" customHeight="false" outlineLevel="0" collapsed="false">
      <c r="O43" s="0" t="n">
        <v>100000</v>
      </c>
      <c r="P43" s="7" t="n">
        <f aca="false">O43*R$36</f>
        <v>366666.666666667</v>
      </c>
      <c r="Q43" s="8" t="n">
        <f aca="false">8400/(P43+O43)</f>
        <v>0.018</v>
      </c>
      <c r="R43" s="8" t="n">
        <f aca="false">P$34*1000/O43</f>
        <v>0.042</v>
      </c>
      <c r="S43" s="8" t="n">
        <f aca="false">(O43+P43)/P43</f>
        <v>1.27272727272727</v>
      </c>
      <c r="V43" s="0" t="n">
        <v>3.2</v>
      </c>
      <c r="W43" s="0" t="n">
        <v>2.51</v>
      </c>
    </row>
    <row r="44" customFormat="false" ht="15.75" hidden="false" customHeight="false" outlineLevel="0" collapsed="false">
      <c r="O44" s="0" t="n">
        <v>150000</v>
      </c>
      <c r="P44" s="7" t="n">
        <f aca="false">O44*R$36</f>
        <v>550000</v>
      </c>
      <c r="Q44" s="8" t="n">
        <f aca="false">8400/(P44+O44)</f>
        <v>0.012</v>
      </c>
      <c r="R44" s="8" t="n">
        <f aca="false">P$34*1000/O44</f>
        <v>0.028</v>
      </c>
      <c r="S44" s="8" t="n">
        <f aca="false">(O44+P44)/P44</f>
        <v>1.27272727272727</v>
      </c>
      <c r="V44" s="0" t="n">
        <v>3</v>
      </c>
      <c r="W44" s="0" t="n">
        <v>2.35</v>
      </c>
    </row>
    <row r="45" customFormat="false" ht="15.75" hidden="false" customHeight="false" outlineLevel="0" collapsed="false">
      <c r="O45" s="0" t="n">
        <v>220000</v>
      </c>
      <c r="P45" s="7" t="n">
        <f aca="false">O45*R$36</f>
        <v>806666.666666666</v>
      </c>
      <c r="Q45" s="8" t="n">
        <f aca="false">8400/(P45+O45)</f>
        <v>0.00818181818181818</v>
      </c>
      <c r="R45" s="8" t="n">
        <f aca="false">P$34*1000/O45</f>
        <v>0.0190909090909091</v>
      </c>
      <c r="S45" s="8" t="n">
        <f aca="false">(O45+P45)/P45</f>
        <v>1.27272727272727</v>
      </c>
      <c r="V45" s="0" t="n">
        <v>2.8</v>
      </c>
      <c r="W45" s="0" t="n">
        <v>2.2</v>
      </c>
    </row>
    <row r="46" customFormat="false" ht="15.75" hidden="false" customHeight="false" outlineLevel="0" collapsed="false">
      <c r="O46" s="0" t="n">
        <v>300000</v>
      </c>
      <c r="P46" s="7" t="n">
        <f aca="false">O46*R$36</f>
        <v>1100000</v>
      </c>
      <c r="Q46" s="8" t="n">
        <f aca="false">8400/(P46+O46)</f>
        <v>0.006</v>
      </c>
      <c r="R46" s="8" t="n">
        <f aca="false">P$34*1000/O46</f>
        <v>0.014</v>
      </c>
      <c r="S46" s="8" t="n">
        <f aca="false">(O46+P46)/P46</f>
        <v>1.27272727272727</v>
      </c>
      <c r="V46" s="0" t="n">
        <v>2.6</v>
      </c>
      <c r="W46" s="0" t="n">
        <v>2.04</v>
      </c>
    </row>
    <row r="47" customFormat="false" ht="15.75" hidden="false" customHeight="false" outlineLevel="0" collapsed="false">
      <c r="O47" s="9" t="n">
        <v>570000</v>
      </c>
      <c r="P47" s="10" t="n">
        <f aca="false">O47*R$36</f>
        <v>2090000</v>
      </c>
      <c r="Q47" s="8" t="n">
        <f aca="false">8400/(P47+O47)</f>
        <v>0.00315789473684211</v>
      </c>
      <c r="R47" s="8" t="n">
        <f aca="false">P$34*1000/O47</f>
        <v>0.00736842105263158</v>
      </c>
      <c r="S47" s="8" t="n">
        <f aca="false">(O47+P47)/P47</f>
        <v>1.27272727272727</v>
      </c>
      <c r="V47" s="0" t="n">
        <v>2.4</v>
      </c>
      <c r="W47" s="0" t="n">
        <v>1.88</v>
      </c>
    </row>
    <row r="48" customFormat="false" ht="15.75" hidden="false" customHeight="false" outlineLevel="0" collapsed="false">
      <c r="O48" s="0" t="n">
        <v>330000</v>
      </c>
      <c r="P48" s="7" t="n">
        <f aca="false">O48*R$36</f>
        <v>1210000</v>
      </c>
      <c r="Q48" s="8" t="n">
        <f aca="false">8400/(P48+O48)</f>
        <v>0.00545454545454546</v>
      </c>
      <c r="R48" s="8" t="n">
        <f aca="false">P$34*1000/O48</f>
        <v>0.0127272727272727</v>
      </c>
      <c r="S48" s="8" t="n">
        <f aca="false">(O48+P48)/P48</f>
        <v>1.27272727272727</v>
      </c>
    </row>
    <row r="49" customFormat="false" ht="15.75" hidden="false" customHeight="false" outlineLevel="0" collapsed="false">
      <c r="O49" s="0" t="n">
        <v>470000</v>
      </c>
      <c r="P49" s="7" t="n">
        <f aca="false">O49*R$36</f>
        <v>1723333.33333333</v>
      </c>
      <c r="Q49" s="8" t="n">
        <f aca="false">8400/(P49+O49)</f>
        <v>0.00382978723404255</v>
      </c>
      <c r="R49" s="8" t="n">
        <f aca="false">P$34*1000/O49</f>
        <v>0.00893617021276596</v>
      </c>
      <c r="S49" s="8" t="n">
        <f aca="false">(O49+P49)/P49</f>
        <v>1.27272727272727</v>
      </c>
    </row>
    <row r="50" customFormat="false" ht="15.75" hidden="false" customHeight="false" outlineLevel="0" collapsed="false">
      <c r="O50" s="0" t="n">
        <v>680000</v>
      </c>
      <c r="P50" s="7" t="n">
        <f aca="false">O50*R$36</f>
        <v>2493333.33333333</v>
      </c>
      <c r="Q50" s="8" t="n">
        <f aca="false">8400/(P50+O50)</f>
        <v>0.00264705882352941</v>
      </c>
      <c r="R50" s="8" t="n">
        <f aca="false">P$34*1000/O50</f>
        <v>0.00617647058823529</v>
      </c>
      <c r="S50" s="8" t="n">
        <f aca="false">(O50+P50)/P50</f>
        <v>1.27272727272727</v>
      </c>
    </row>
    <row r="51" customFormat="false" ht="15.75" hidden="false" customHeight="false" outlineLevel="0" collapsed="false">
      <c r="P51" s="7"/>
      <c r="Q51" s="8"/>
    </row>
    <row r="52" customFormat="false" ht="15.75" hidden="false" customHeight="false" outlineLevel="0" collapsed="false">
      <c r="V52" s="0" t="s">
        <v>34</v>
      </c>
      <c r="W52" s="0" t="n">
        <v>1.27</v>
      </c>
    </row>
    <row r="53" customFormat="false" ht="15.75" hidden="false" customHeight="false" outlineLevel="0" collapsed="false">
      <c r="P53" s="0" t="s">
        <v>35</v>
      </c>
      <c r="R53" s="8" t="s">
        <v>36</v>
      </c>
      <c r="T53" s="8"/>
      <c r="V53" s="0" t="s">
        <v>37</v>
      </c>
      <c r="W53" s="0" t="n">
        <v>0.01</v>
      </c>
    </row>
    <row r="54" customFormat="false" ht="15.75" hidden="false" customHeight="false" outlineLevel="0" collapsed="false">
      <c r="P54" s="0" t="n">
        <f aca="false">W38</f>
        <v>3.3</v>
      </c>
      <c r="Q54" s="0" t="s">
        <v>26</v>
      </c>
      <c r="R54" s="1" t="n">
        <f aca="false">P54*W52+W53</f>
        <v>4.201</v>
      </c>
      <c r="S54" s="0" t="s">
        <v>26</v>
      </c>
    </row>
    <row r="55" customFormat="false" ht="15.75" hidden="false" customHeight="false" outlineLevel="0" collapsed="false">
      <c r="P55" s="0" t="n">
        <f aca="false">W47</f>
        <v>1.88</v>
      </c>
      <c r="Q55" s="0" t="s">
        <v>26</v>
      </c>
      <c r="R55" s="1" t="n">
        <f aca="false">P55*W52+W53</f>
        <v>2.3976</v>
      </c>
      <c r="S55" s="0" t="s">
        <v>26</v>
      </c>
    </row>
    <row r="57" customFormat="false" ht="15.75" hidden="false" customHeight="false" outlineLevel="0" collapsed="false">
      <c r="O57" s="0" t="s">
        <v>38</v>
      </c>
      <c r="P57" s="0" t="n">
        <f aca="false">P54-P55</f>
        <v>1.42</v>
      </c>
      <c r="R57" s="1" t="n">
        <f aca="false">R54-R55</f>
        <v>1.8034</v>
      </c>
      <c r="S57" s="0" t="s">
        <v>39</v>
      </c>
      <c r="T57" s="11" t="n">
        <f aca="false">R57/P57</f>
        <v>1.27</v>
      </c>
    </row>
    <row r="58" customFormat="false" ht="15.75" hidden="false" customHeight="false" outlineLevel="0" collapsed="false">
      <c r="J58" s="0" t="s">
        <v>40</v>
      </c>
      <c r="P58" s="0" t="n">
        <f aca="false">100/P57</f>
        <v>70.4225352112676</v>
      </c>
    </row>
    <row r="59" customFormat="false" ht="15.75" hidden="false" customHeight="false" outlineLevel="0" collapsed="false">
      <c r="J59" s="0" t="str">
        <f aca="false">"Cuando el ADC devuelva "&amp;P54&amp;"v en la batería hay "&amp;R54&amp;"v"</f>
        <v>Cuando el ADC devuelva 3,3v en la batería hay 4,201v</v>
      </c>
      <c r="R59" s="0" t="n">
        <v>3</v>
      </c>
      <c r="S59" s="0" t="s">
        <v>41</v>
      </c>
      <c r="T59" s="0" t="n">
        <f aca="false">100/P57</f>
        <v>70.4225352112676</v>
      </c>
      <c r="U59" s="7" t="n">
        <f aca="false">(R59-P55)*T59</f>
        <v>78.8732394366197</v>
      </c>
      <c r="V59" s="0" t="s">
        <v>42</v>
      </c>
    </row>
    <row r="60" customFormat="false" ht="15.75" hidden="false" customHeight="false" outlineLevel="0" collapsed="false">
      <c r="J60" s="0" t="str">
        <f aca="false">"Cuando el ADC devuelva "&amp;P55&amp;"v en la batería hay "&amp;R55&amp;"v"</f>
        <v>Cuando el ADC devuelva 1,88v en la batería hay 2,3976v</v>
      </c>
    </row>
    <row r="61" customFormat="false" ht="15.75" hidden="false" customHeight="false" outlineLevel="0" collapsed="false">
      <c r="J61" s="0" t="s">
        <v>43</v>
      </c>
    </row>
    <row r="62" customFormat="false" ht="15.75" hidden="false" customHeight="false" outlineLevel="0" collapsed="false">
      <c r="J62" s="0" t="s">
        <v>44</v>
      </c>
    </row>
    <row r="64" customFormat="false" ht="15.75" hidden="false" customHeight="false" outlineLevel="0" collapsed="false">
      <c r="O64" s="0" t="s">
        <v>28</v>
      </c>
      <c r="P64" s="0" t="n">
        <v>4.2</v>
      </c>
      <c r="R64" s="0" t="n">
        <f aca="false">P64-P65</f>
        <v>0.9</v>
      </c>
    </row>
    <row r="65" customFormat="false" ht="15.75" hidden="false" customHeight="false" outlineLevel="0" collapsed="false">
      <c r="O65" s="0" t="s">
        <v>29</v>
      </c>
      <c r="P65" s="0" t="n">
        <v>3.3</v>
      </c>
      <c r="R65" s="0" t="n">
        <f aca="false">R64/P65</f>
        <v>0.272727272727273</v>
      </c>
    </row>
    <row r="66" customFormat="false" ht="15.75" hidden="false" customHeight="false" outlineLevel="0" collapsed="false">
      <c r="P66" s="12"/>
      <c r="R66" s="0" t="n">
        <f aca="false">P65/R64</f>
        <v>3.66666666666667</v>
      </c>
    </row>
    <row r="68" customFormat="false" ht="15.75" hidden="false" customHeight="false" outlineLevel="0" collapsed="false">
      <c r="O68" s="0" t="s">
        <v>30</v>
      </c>
      <c r="P68" s="0" t="s">
        <v>31</v>
      </c>
      <c r="Q68" s="0" t="s">
        <v>17</v>
      </c>
      <c r="R68" s="0" t="s">
        <v>32</v>
      </c>
      <c r="S68" s="0" t="s">
        <v>33</v>
      </c>
    </row>
    <row r="69" customFormat="false" ht="15.75" hidden="false" customHeight="false" outlineLevel="0" collapsed="false">
      <c r="O69" s="0" t="n">
        <v>100000</v>
      </c>
      <c r="P69" s="7" t="n">
        <f aca="false">O69*R$66</f>
        <v>366666.666666667</v>
      </c>
      <c r="Q69" s="8" t="n">
        <f aca="false">8400/(P69+O69)</f>
        <v>0.018</v>
      </c>
      <c r="R69" s="8" t="n">
        <f aca="false">P$34*1000/O69</f>
        <v>0.042</v>
      </c>
      <c r="S69" s="8" t="n">
        <f aca="false">(O69+P69)/P69</f>
        <v>1.27272727272727</v>
      </c>
      <c r="U69" s="0" t="n">
        <v>4.2</v>
      </c>
      <c r="V69" s="0" t="n">
        <f aca="false">U69/S69</f>
        <v>3.3</v>
      </c>
    </row>
    <row r="70" customFormat="false" ht="15.75" hidden="false" customHeight="false" outlineLevel="0" collapsed="false">
      <c r="O70" s="0" t="n">
        <v>120000</v>
      </c>
      <c r="P70" s="7" t="n">
        <f aca="false">O70*R$66</f>
        <v>440000</v>
      </c>
      <c r="Q70" s="8" t="n">
        <f aca="false">8400/(P70+O70)</f>
        <v>0.015</v>
      </c>
      <c r="R70" s="8" t="n">
        <f aca="false">P$34*1000/O70</f>
        <v>0.035</v>
      </c>
      <c r="S70" s="8" t="n">
        <f aca="false">(O70+P70)/P70</f>
        <v>1.27272727272727</v>
      </c>
    </row>
    <row r="71" customFormat="false" ht="15.75" hidden="false" customHeight="false" outlineLevel="0" collapsed="false">
      <c r="O71" s="0" t="n">
        <v>150000</v>
      </c>
      <c r="P71" s="7" t="n">
        <f aca="false">O71*R$66</f>
        <v>550000</v>
      </c>
      <c r="Q71" s="8" t="n">
        <f aca="false">8400/(P71+O71)</f>
        <v>0.012</v>
      </c>
      <c r="R71" s="8" t="n">
        <f aca="false">P$34*1000/O71</f>
        <v>0.028</v>
      </c>
      <c r="S71" s="8" t="n">
        <f aca="false">(O71+P71)/P71</f>
        <v>1.27272727272727</v>
      </c>
    </row>
    <row r="72" customFormat="false" ht="15.75" hidden="false" customHeight="false" outlineLevel="0" collapsed="false">
      <c r="O72" s="0" t="n">
        <v>200000</v>
      </c>
      <c r="P72" s="7" t="n">
        <f aca="false">O72*R$66</f>
        <v>733333.333333333</v>
      </c>
      <c r="Q72" s="8" t="n">
        <f aca="false">8400/(P72+O72)</f>
        <v>0.009</v>
      </c>
      <c r="R72" s="8" t="n">
        <f aca="false">P$34*1000/O72</f>
        <v>0.021</v>
      </c>
      <c r="S72" s="8" t="n">
        <f aca="false">(O72+P72)/P72</f>
        <v>1.27272727272727</v>
      </c>
    </row>
    <row r="73" customFormat="false" ht="15.75" hidden="false" customHeight="false" outlineLevel="0" collapsed="false">
      <c r="O73" s="0" t="n">
        <v>220000</v>
      </c>
      <c r="P73" s="7" t="n">
        <f aca="false">O73*R$66</f>
        <v>806666.666666666</v>
      </c>
      <c r="Q73" s="8" t="n">
        <f aca="false">8400/(P73+O73)</f>
        <v>0.00818181818181818</v>
      </c>
      <c r="R73" s="8" t="n">
        <f aca="false">P$34*1000/O73</f>
        <v>0.0190909090909091</v>
      </c>
      <c r="S73" s="8" t="n">
        <f aca="false">(O73+P73)/P73</f>
        <v>1.27272727272727</v>
      </c>
    </row>
    <row r="74" customFormat="false" ht="15.75" hidden="false" customHeight="false" outlineLevel="0" collapsed="false">
      <c r="O74" s="0" t="n">
        <v>27000</v>
      </c>
      <c r="P74" s="7" t="n">
        <f aca="false">O74*R$66</f>
        <v>99000</v>
      </c>
      <c r="Q74" s="8" t="n">
        <f aca="false">8400/(P74+O74)</f>
        <v>0.0666666666666667</v>
      </c>
      <c r="R74" s="8" t="n">
        <f aca="false">P$34*1000/O74</f>
        <v>0.155555555555556</v>
      </c>
      <c r="S74" s="8" t="n">
        <f aca="false">(O74+P74)/P74</f>
        <v>1.27272727272727</v>
      </c>
    </row>
    <row r="75" customFormat="false" ht="15.75" hidden="false" customHeight="false" outlineLevel="0" collapsed="false">
      <c r="O75" s="0" t="n">
        <v>30000</v>
      </c>
      <c r="P75" s="7" t="n">
        <f aca="false">O75*R$66</f>
        <v>110000</v>
      </c>
      <c r="Q75" s="8" t="n">
        <f aca="false">8400/(P75+O75)</f>
        <v>0.06</v>
      </c>
      <c r="R75" s="8" t="n">
        <f aca="false">P$34*1000/O75</f>
        <v>0.14</v>
      </c>
      <c r="S75" s="8" t="n">
        <f aca="false">(O75+P75)/P75</f>
        <v>1.27272727272727</v>
      </c>
    </row>
    <row r="76" customFormat="false" ht="15.75" hidden="false" customHeight="false" outlineLevel="0" collapsed="false">
      <c r="O76" s="0" t="n">
        <v>33000</v>
      </c>
      <c r="P76" s="7" t="n">
        <f aca="false">O76*R$66</f>
        <v>121000</v>
      </c>
      <c r="Q76" s="8" t="n">
        <f aca="false">8400/(P76+O76)</f>
        <v>0.0545454545454546</v>
      </c>
      <c r="R76" s="8" t="n">
        <f aca="false">P$34*1000/O76</f>
        <v>0.127272727272727</v>
      </c>
      <c r="S76" s="8" t="n">
        <f aca="false">(O76+P76)/P76</f>
        <v>1.27272727272727</v>
      </c>
    </row>
    <row r="77" customFormat="false" ht="15.75" hidden="false" customHeight="false" outlineLevel="0" collapsed="false">
      <c r="O77" s="0" t="n">
        <v>39000</v>
      </c>
      <c r="P77" s="7" t="n">
        <f aca="false">O77*R$66</f>
        <v>143000</v>
      </c>
      <c r="Q77" s="8" t="n">
        <f aca="false">8400/(P77+O77)</f>
        <v>0.0461538461538462</v>
      </c>
      <c r="R77" s="8" t="n">
        <f aca="false">P$34*1000/O77</f>
        <v>0.107692307692308</v>
      </c>
      <c r="S77" s="8" t="n">
        <f aca="false">(O77+P77)/P77</f>
        <v>1.27272727272727</v>
      </c>
    </row>
    <row r="78" customFormat="false" ht="15.75" hidden="false" customHeight="false" outlineLevel="0" collapsed="false">
      <c r="O78" s="0" t="n">
        <v>47000</v>
      </c>
      <c r="P78" s="7" t="n">
        <f aca="false">O78*R$66</f>
        <v>172333.333333333</v>
      </c>
      <c r="Q78" s="8" t="n">
        <f aca="false">8400/(P78+O78)</f>
        <v>0.0382978723404255</v>
      </c>
      <c r="R78" s="8" t="n">
        <f aca="false">P$34*1000/O78</f>
        <v>0.0893617021276596</v>
      </c>
      <c r="S78" s="8" t="n">
        <f aca="false">(O78+P78)/P78</f>
        <v>1.27272727272727</v>
      </c>
    </row>
    <row r="79" customFormat="false" ht="15.75" hidden="false" customHeight="false" outlineLevel="0" collapsed="false">
      <c r="O79" s="0" t="n">
        <v>51000</v>
      </c>
      <c r="P79" s="7" t="n">
        <f aca="false">O79*R$66</f>
        <v>187000</v>
      </c>
      <c r="Q79" s="8" t="n">
        <f aca="false">8400/(P79+O79)</f>
        <v>0.0352941176470588</v>
      </c>
      <c r="R79" s="8" t="n">
        <f aca="false">P$34*1000/O79</f>
        <v>0.0823529411764706</v>
      </c>
      <c r="S79" s="8" t="n">
        <f aca="false">(O79+P79)/P79</f>
        <v>1.27272727272727</v>
      </c>
    </row>
    <row r="80" customFormat="false" ht="15.75" hidden="false" customHeight="false" outlineLevel="0" collapsed="false">
      <c r="O80" s="0" t="n">
        <v>62000</v>
      </c>
      <c r="P80" s="7" t="n">
        <f aca="false">O80*R$66</f>
        <v>227333.333333333</v>
      </c>
      <c r="Q80" s="8" t="n">
        <f aca="false">8400/(P80+O80)</f>
        <v>0.0290322580645161</v>
      </c>
      <c r="R80" s="8" t="n">
        <f aca="false">P$34*1000/O80</f>
        <v>0.067741935483871</v>
      </c>
      <c r="S80" s="8" t="n">
        <f aca="false">(O80+P80)/P80</f>
        <v>1.27272727272727</v>
      </c>
      <c r="V80" s="1"/>
    </row>
    <row r="81" customFormat="false" ht="15.75" hidden="false" customHeight="false" outlineLevel="0" collapsed="false">
      <c r="O81" s="0" t="n">
        <v>68000</v>
      </c>
      <c r="P81" s="7" t="n">
        <f aca="false">O81*R$66</f>
        <v>249333.333333333</v>
      </c>
      <c r="Q81" s="8" t="n">
        <f aca="false">8400/(P81+O81)</f>
        <v>0.0264705882352941</v>
      </c>
      <c r="R81" s="8" t="n">
        <f aca="false">P$34*1000/O81</f>
        <v>0.0617647058823529</v>
      </c>
      <c r="S81" s="8" t="n">
        <f aca="false">(O81+P81)/P81</f>
        <v>1.27272727272727</v>
      </c>
      <c r="V81" s="1"/>
    </row>
    <row r="82" customFormat="false" ht="15.75" hidden="false" customHeight="false" outlineLevel="0" collapsed="false">
      <c r="O82" s="0" t="n">
        <v>75000</v>
      </c>
      <c r="P82" s="7" t="n">
        <f aca="false">O82*R$66</f>
        <v>275000</v>
      </c>
      <c r="Q82" s="8" t="n">
        <f aca="false">8400/(P82+O82)</f>
        <v>0.024</v>
      </c>
      <c r="R82" s="8" t="n">
        <f aca="false">P$34*1000/O82</f>
        <v>0.056</v>
      </c>
      <c r="S82" s="8" t="n">
        <f aca="false">(O82+P82)/P82</f>
        <v>1.27272727272727</v>
      </c>
      <c r="V82" s="1"/>
    </row>
    <row r="83" customFormat="false" ht="15.75" hidden="false" customHeight="false" outlineLevel="0" collapsed="false">
      <c r="O83" s="0" t="n">
        <v>82000</v>
      </c>
      <c r="P83" s="7" t="n">
        <f aca="false">O83*R$66</f>
        <v>300666.666666667</v>
      </c>
      <c r="Q83" s="8" t="n">
        <f aca="false">8400/(P83+O83)</f>
        <v>0.0219512195121951</v>
      </c>
      <c r="R83" s="8" t="n">
        <f aca="false">P$34*1000/O83</f>
        <v>0.051219512195122</v>
      </c>
      <c r="S83" s="8" t="n">
        <f aca="false">(O83+P83)/P83</f>
        <v>1.27272727272727</v>
      </c>
    </row>
    <row r="84" customFormat="false" ht="15.75" hidden="false" customHeight="false" outlineLevel="0" collapsed="false">
      <c r="O84" s="0" t="n">
        <v>91000</v>
      </c>
      <c r="P84" s="7" t="n">
        <f aca="false">O84*R$66</f>
        <v>333666.666666667</v>
      </c>
      <c r="Q84" s="8" t="n">
        <f aca="false">8400/(P84+O84)</f>
        <v>0.0197802197802198</v>
      </c>
      <c r="R84" s="8" t="n">
        <f aca="false">P$34*1000/O84</f>
        <v>0.0461538461538462</v>
      </c>
      <c r="S84" s="8" t="n">
        <f aca="false">(O84+P84)/P84</f>
        <v>1.27272727272727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2025-01-16T11:08:08Z</dcterms:created>
  <dc:creator>Ignacio Hernandez-Ros</dc:creator>
  <dc:description/>
  <dc:language>es-ES</dc:language>
  <cp:lastModifiedBy/>
  <dcterms:modified xsi:type="dcterms:W3CDTF">2025-12-27T13:42:09Z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