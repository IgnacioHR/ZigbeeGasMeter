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ihr/ZigbeeGasMeter/"/>
    </mc:Choice>
  </mc:AlternateContent>
  <xr:revisionPtr revIDLastSave="0" documentId="13_ncr:1_{DC24647A-07C7-2940-B87E-F0035E2F8F74}" xr6:coauthVersionLast="47" xr6:coauthVersionMax="47" xr10:uidLastSave="{00000000-0000-0000-0000-000000000000}"/>
  <bookViews>
    <workbookView xWindow="200" yWindow="620" windowWidth="41660" windowHeight="13680" tabRatio="5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55" i="1" l="1"/>
  <c r="V85" i="1"/>
  <c r="S85" i="1"/>
  <c r="Q85" i="1"/>
  <c r="R85" i="1"/>
  <c r="P54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4" i="1"/>
  <c r="R66" i="1" s="1"/>
  <c r="R55" i="1"/>
  <c r="J60" i="1" s="1"/>
  <c r="R54" i="1"/>
  <c r="R57" i="1" s="1"/>
  <c r="R50" i="1"/>
  <c r="R49" i="1"/>
  <c r="R48" i="1"/>
  <c r="R47" i="1"/>
  <c r="R46" i="1"/>
  <c r="R45" i="1"/>
  <c r="R44" i="1"/>
  <c r="R43" i="1"/>
  <c r="R34" i="1"/>
  <c r="R35" i="1" s="1"/>
  <c r="O39" i="1" s="1"/>
  <c r="L34" i="1"/>
  <c r="J28" i="1"/>
  <c r="F24" i="1"/>
  <c r="F23" i="1"/>
  <c r="F22" i="1"/>
  <c r="N21" i="1"/>
  <c r="F21" i="1"/>
  <c r="F20" i="1"/>
  <c r="F19" i="1"/>
  <c r="F18" i="1"/>
  <c r="F17" i="1"/>
  <c r="Q16" i="1"/>
  <c r="Q17" i="1" s="1"/>
  <c r="P16" i="1"/>
  <c r="P17" i="1" s="1"/>
  <c r="F16" i="1"/>
  <c r="Q15" i="1"/>
  <c r="P15" i="1"/>
  <c r="L15" i="1"/>
  <c r="O15" i="1" s="1"/>
  <c r="F15" i="1"/>
  <c r="Q14" i="1"/>
  <c r="P14" i="1"/>
  <c r="L14" i="1"/>
  <c r="O14" i="1" s="1"/>
  <c r="F14" i="1"/>
  <c r="F13" i="1"/>
  <c r="G9" i="1"/>
  <c r="I9" i="1" s="1"/>
  <c r="F9" i="1"/>
  <c r="G8" i="1"/>
  <c r="I8" i="1" s="1"/>
  <c r="F8" i="1"/>
  <c r="I7" i="1"/>
  <c r="G7" i="1"/>
  <c r="F7" i="1"/>
  <c r="G6" i="1"/>
  <c r="I6" i="1" s="1"/>
  <c r="F6" i="1"/>
  <c r="J5" i="1"/>
  <c r="J6" i="1" s="1"/>
  <c r="J7" i="1" s="1"/>
  <c r="G5" i="1"/>
  <c r="I5" i="1" s="1"/>
  <c r="F5" i="1"/>
  <c r="I4" i="1"/>
  <c r="G4" i="1"/>
  <c r="F4" i="1"/>
  <c r="G3" i="1"/>
  <c r="I3" i="1" s="1"/>
  <c r="F3" i="1"/>
  <c r="P69" i="1" l="1"/>
  <c r="P80" i="1"/>
  <c r="P77" i="1"/>
  <c r="P74" i="1"/>
  <c r="P71" i="1"/>
  <c r="P84" i="1"/>
  <c r="P81" i="1"/>
  <c r="P78" i="1"/>
  <c r="P75" i="1"/>
  <c r="P72" i="1"/>
  <c r="P83" i="1"/>
  <c r="P82" i="1"/>
  <c r="P79" i="1"/>
  <c r="P76" i="1"/>
  <c r="P73" i="1"/>
  <c r="P70" i="1"/>
  <c r="O16" i="1"/>
  <c r="R36" i="1"/>
  <c r="R65" i="1"/>
  <c r="J59" i="1"/>
  <c r="P57" i="1"/>
  <c r="P58" i="1" l="1"/>
  <c r="T59" i="1"/>
  <c r="S83" i="1"/>
  <c r="Q83" i="1"/>
  <c r="U59" i="1"/>
  <c r="S72" i="1"/>
  <c r="Q72" i="1"/>
  <c r="S75" i="1"/>
  <c r="Q75" i="1"/>
  <c r="S81" i="1"/>
  <c r="Q81" i="1"/>
  <c r="O17" i="1"/>
  <c r="M21" i="1"/>
  <c r="S73" i="1"/>
  <c r="Q73" i="1"/>
  <c r="S78" i="1"/>
  <c r="Q78" i="1"/>
  <c r="O40" i="1"/>
  <c r="P48" i="1"/>
  <c r="P45" i="1"/>
  <c r="P49" i="1"/>
  <c r="P46" i="1"/>
  <c r="P43" i="1"/>
  <c r="P50" i="1"/>
  <c r="P47" i="1"/>
  <c r="P44" i="1"/>
  <c r="S84" i="1"/>
  <c r="Q84" i="1"/>
  <c r="S71" i="1"/>
  <c r="Q71" i="1"/>
  <c r="S70" i="1"/>
  <c r="Q70" i="1"/>
  <c r="S74" i="1"/>
  <c r="Q74" i="1"/>
  <c r="S77" i="1"/>
  <c r="Q77" i="1"/>
  <c r="S76" i="1"/>
  <c r="Q76" i="1"/>
  <c r="S80" i="1"/>
  <c r="Q80" i="1"/>
  <c r="S79" i="1"/>
  <c r="Q79" i="1"/>
  <c r="S69" i="1"/>
  <c r="V69" i="1" s="1"/>
  <c r="Q69" i="1"/>
  <c r="S82" i="1"/>
  <c r="Q82" i="1"/>
  <c r="T57" i="1"/>
  <c r="W57" i="1" s="1"/>
  <c r="S43" i="1" l="1"/>
  <c r="Q43" i="1"/>
  <c r="S49" i="1"/>
  <c r="Q49" i="1"/>
  <c r="S47" i="1"/>
  <c r="Q47" i="1"/>
  <c r="O22" i="1"/>
  <c r="Q21" i="1"/>
  <c r="S50" i="1"/>
  <c r="Q50" i="1"/>
  <c r="S46" i="1"/>
  <c r="Q46" i="1"/>
  <c r="S45" i="1"/>
  <c r="Q45" i="1"/>
  <c r="S48" i="1"/>
  <c r="Q48" i="1"/>
  <c r="S44" i="1"/>
  <c r="Q44" i="1"/>
</calcChain>
</file>

<file path=xl/sharedStrings.xml><?xml version="1.0" encoding="utf-8"?>
<sst xmlns="http://schemas.openxmlformats.org/spreadsheetml/2006/main" count="79" uniqueCount="47">
  <si>
    <t>tiempo entre pulsos en segundos</t>
  </si>
  <si>
    <t>tiempo entre pulsos en milisegundos</t>
  </si>
  <si>
    <t>en horas</t>
  </si>
  <si>
    <t>instantáneous demand</t>
  </si>
  <si>
    <t>Máximo uint32</t>
  </si>
  <si>
    <t>en segundos</t>
  </si>
  <si>
    <t>en días</t>
  </si>
  <si>
    <t>Escenarios</t>
  </si>
  <si>
    <t>Consumo en 1 hora</t>
  </si>
  <si>
    <t>abrió</t>
  </si>
  <si>
    <t>Mejor</t>
  </si>
  <si>
    <t>Peor</t>
  </si>
  <si>
    <t>Medio</t>
  </si>
  <si>
    <t>cerró</t>
  </si>
  <si>
    <t>Consumo reposo</t>
  </si>
  <si>
    <t>mA/h</t>
  </si>
  <si>
    <t>Consumo operando</t>
  </si>
  <si>
    <t>mA</t>
  </si>
  <si>
    <t>Consumo en 1 día</t>
  </si>
  <si>
    <t>Estimación de consumo</t>
  </si>
  <si>
    <t>Horas</t>
  </si>
  <si>
    <t>Batería</t>
  </si>
  <si>
    <t>Batería para 1 año</t>
  </si>
  <si>
    <t>días</t>
  </si>
  <si>
    <t>Resistencias para una batería de hasta 8.4v</t>
  </si>
  <si>
    <t>r</t>
  </si>
  <si>
    <t>v</t>
  </si>
  <si>
    <t>i</t>
  </si>
  <si>
    <t>Vbat</t>
  </si>
  <si>
    <t>Vchg</t>
  </si>
  <si>
    <t>R1</t>
  </si>
  <si>
    <t>R2</t>
  </si>
  <si>
    <t>mA en R1</t>
  </si>
  <si>
    <t>(r1+r2)/r2</t>
  </si>
  <si>
    <t>m</t>
  </si>
  <si>
    <t>Measured voltage</t>
  </si>
  <si>
    <t>Battery calculated</t>
  </si>
  <si>
    <t>b</t>
  </si>
  <si>
    <t>Diferencia de voltaje</t>
  </si>
  <si>
    <t>conversión</t>
  </si>
  <si>
    <t>Para calcular el % de batería que hay realizamos esta operación</t>
  </si>
  <si>
    <t>ratio para calcular el %</t>
  </si>
  <si>
    <t>Valor a enviar como % que va desde 0 a 200</t>
  </si>
  <si>
    <t>A 3,3v le asignamos el 100</t>
  </si>
  <si>
    <t>A 1,88v le asignamos el 0</t>
  </si>
  <si>
    <t>En el código del ESP32 el voltage viene en mV</t>
  </si>
  <si>
    <t>Valores seleccionados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</si>
</sst>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"/>
    <numFmt numFmtId="166" formatCode="0.0000"/>
    <numFmt numFmtId="167" formatCode="0\ %"/>
    <numFmt numFmtId="168" formatCode="0.0"/>
  </numFmts>
  <fonts count="2" x14ac:knownFonts="1">
    <font>
      <sz val="12"/>
      <color theme="1"/>
      <name val="Aptos Narrow"/>
      <family val="2"/>
      <charset val="1"/>
    </font>
    <font>
      <sz val="12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7" fontId="1" fillId="0" borderId="0" applyBorder="0" applyProtection="0"/>
  </cellStyleXfs>
  <cellXfs count="16">
    <xf numFmtId="0" fontId="0" fillId="0" borderId="0" xfId="0"/>
    <xf numFmtId="2" fontId="0" fillId="0" borderId="0" xfId="0" applyNumberFormat="1"/>
    <xf numFmtId="21" fontId="0" fillId="0" borderId="0" xfId="0" applyNumberFormat="1"/>
    <xf numFmtId="2" fontId="0" fillId="0" borderId="1" xfId="0" applyNumberFormat="1" applyBorder="1"/>
    <xf numFmtId="0" fontId="0" fillId="0" borderId="1" xfId="0" applyBorder="1"/>
    <xf numFmtId="2" fontId="0" fillId="0" borderId="0" xfId="0" applyNumberFormat="1" applyAlignment="1">
      <alignment horizontal="right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2" borderId="0" xfId="0" applyFill="1"/>
    <xf numFmtId="1" fontId="0" fillId="2" borderId="0" xfId="0" applyNumberFormat="1" applyFill="1"/>
    <xf numFmtId="166" fontId="0" fillId="0" borderId="0" xfId="0" applyNumberFormat="1"/>
    <xf numFmtId="167" fontId="1" fillId="0" borderId="0" xfId="1" applyBorder="1" applyProtection="1"/>
    <xf numFmtId="168" fontId="0" fillId="0" borderId="0" xfId="0" applyNumberFormat="1"/>
    <xf numFmtId="0" fontId="0" fillId="3" borderId="0" xfId="0" applyFill="1"/>
    <xf numFmtId="1" fontId="0" fillId="3" borderId="0" xfId="0" applyNumberForma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ES" sz="1400" b="0" u="none" strike="noStrike">
                <a:solidFill>
                  <a:srgbClr val="595959"/>
                </a:solidFill>
                <a:uFillTx/>
                <a:latin typeface="Aptos Narrow"/>
              </a:rPr>
              <a:t>Vchg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Hoja1!$W$37</c:f>
              <c:strCache>
                <c:ptCount val="1"/>
                <c:pt idx="0">
                  <c:v>Vchg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trendline>
            <c:spPr>
              <a:ln w="19080" cap="rnd">
                <a:solidFill>
                  <a:srgbClr val="E97132"/>
                </a:solidFill>
                <a:prstDash val="sysDot"/>
                <a:round/>
              </a:ln>
            </c:spPr>
            <c:trendlineType val="linear"/>
            <c:forward val="0.15"/>
            <c:backward val="0.15"/>
            <c:dispRSqr val="0"/>
            <c:dispEq val="1"/>
            <c:trendlineLbl>
              <c:numFmt formatCode="General" sourceLinked="0"/>
            </c:trendlineLbl>
          </c:trendline>
          <c:xVal>
            <c:numRef>
              <c:f>Hoja1!$W$38:$W$47</c:f>
              <c:numCache>
                <c:formatCode>General</c:formatCode>
                <c:ptCount val="10"/>
                <c:pt idx="0">
                  <c:v>3.3</c:v>
                </c:pt>
                <c:pt idx="1">
                  <c:v>3.14</c:v>
                </c:pt>
                <c:pt idx="2">
                  <c:v>2.98</c:v>
                </c:pt>
                <c:pt idx="3">
                  <c:v>2.83</c:v>
                </c:pt>
                <c:pt idx="4">
                  <c:v>2.67</c:v>
                </c:pt>
                <c:pt idx="5">
                  <c:v>2.5099999999999998</c:v>
                </c:pt>
                <c:pt idx="6">
                  <c:v>2.35</c:v>
                </c:pt>
                <c:pt idx="7">
                  <c:v>2.2000000000000002</c:v>
                </c:pt>
                <c:pt idx="8">
                  <c:v>2.04</c:v>
                </c:pt>
                <c:pt idx="9">
                  <c:v>1.88</c:v>
                </c:pt>
              </c:numCache>
            </c:numRef>
          </c:xVal>
          <c:yVal>
            <c:numRef>
              <c:f>Hoja1!$V$38:$V$47</c:f>
              <c:numCache>
                <c:formatCode>General</c:formatCode>
                <c:ptCount val="10"/>
                <c:pt idx="0">
                  <c:v>4.2</c:v>
                </c:pt>
                <c:pt idx="1">
                  <c:v>4</c:v>
                </c:pt>
                <c:pt idx="2">
                  <c:v>3.8</c:v>
                </c:pt>
                <c:pt idx="3">
                  <c:v>3.6</c:v>
                </c:pt>
                <c:pt idx="4">
                  <c:v>3.4</c:v>
                </c:pt>
                <c:pt idx="5">
                  <c:v>3.2</c:v>
                </c:pt>
                <c:pt idx="6">
                  <c:v>3</c:v>
                </c:pt>
                <c:pt idx="7">
                  <c:v>2.8</c:v>
                </c:pt>
                <c:pt idx="8">
                  <c:v>2.6</c:v>
                </c:pt>
                <c:pt idx="9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96-9743-8EF3-8183D3D70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45332"/>
        <c:axId val="21017857"/>
      </c:scatterChart>
      <c:valAx>
        <c:axId val="634453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es-ES"/>
          </a:p>
        </c:txPr>
        <c:crossAx val="21017857"/>
        <c:crosses val="autoZero"/>
        <c:crossBetween val="midCat"/>
      </c:valAx>
      <c:valAx>
        <c:axId val="2101785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es-ES"/>
          </a:p>
        </c:txPr>
        <c:crossAx val="6344533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Aptos Narrow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156082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431640</xdr:colOff>
      <xdr:row>37</xdr:row>
      <xdr:rowOff>177840</xdr:rowOff>
    </xdr:from>
    <xdr:to>
      <xdr:col>13</xdr:col>
      <xdr:colOff>416520</xdr:colOff>
      <xdr:row>42</xdr:row>
      <xdr:rowOff>101160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989520" y="7578720"/>
          <a:ext cx="3308400" cy="92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609480</xdr:colOff>
      <xdr:row>31</xdr:row>
      <xdr:rowOff>114480</xdr:rowOff>
    </xdr:from>
    <xdr:to>
      <xdr:col>10</xdr:col>
      <xdr:colOff>320400</xdr:colOff>
      <xdr:row>49</xdr:row>
      <xdr:rowOff>190440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743600" y="6315120"/>
          <a:ext cx="5134680" cy="3676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317520</xdr:colOff>
      <xdr:row>30</xdr:row>
      <xdr:rowOff>63360</xdr:rowOff>
    </xdr:from>
    <xdr:to>
      <xdr:col>33</xdr:col>
      <xdr:colOff>748800</xdr:colOff>
      <xdr:row>55</xdr:row>
      <xdr:rowOff>12240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W1048576"/>
  <sheetViews>
    <sheetView tabSelected="1" topLeftCell="H34" zoomScaleNormal="100" workbookViewId="0">
      <selection activeCell="P55" sqref="P55"/>
    </sheetView>
  </sheetViews>
  <sheetFormatPr baseColWidth="10" defaultColWidth="10.5" defaultRowHeight="15.75" customHeight="1" x14ac:dyDescent="0.2"/>
  <cols>
    <col min="9" max="9" width="22.83203125" customWidth="1"/>
    <col min="10" max="10" width="22.5" customWidth="1"/>
    <col min="12" max="12" width="14.83203125" customWidth="1"/>
    <col min="13" max="13" width="8.83203125" customWidth="1"/>
    <col min="15" max="15" width="18.1640625" customWidth="1"/>
    <col min="16" max="16" width="12.1640625" bestFit="1" customWidth="1"/>
    <col min="17" max="17" width="15.83203125" customWidth="1"/>
    <col min="18" max="18" width="11.33203125" customWidth="1"/>
    <col min="19" max="19" width="21" customWidth="1"/>
    <col min="20" max="20" width="14.5" customWidth="1"/>
  </cols>
  <sheetData>
    <row r="2" spans="3:18" ht="16" x14ac:dyDescent="0.2">
      <c r="C2" t="s">
        <v>0</v>
      </c>
      <c r="F2" t="s">
        <v>1</v>
      </c>
      <c r="G2" t="s">
        <v>2</v>
      </c>
      <c r="I2" t="s">
        <v>3</v>
      </c>
      <c r="J2" t="s">
        <v>4</v>
      </c>
    </row>
    <row r="3" spans="3:18" ht="16" x14ac:dyDescent="0.2">
      <c r="C3">
        <v>60</v>
      </c>
      <c r="F3">
        <f t="shared" ref="F3:F9" si="0">C3*1000</f>
        <v>60000</v>
      </c>
      <c r="G3">
        <f t="shared" ref="G3:G9" si="1">C3/3600</f>
        <v>1.6666666666666666E-2</v>
      </c>
      <c r="I3" s="1">
        <f t="shared" ref="I3:I9" si="2">0.01/G3</f>
        <v>0.6</v>
      </c>
      <c r="J3">
        <v>4294967295</v>
      </c>
    </row>
    <row r="4" spans="3:18" ht="16" x14ac:dyDescent="0.2">
      <c r="C4">
        <v>30</v>
      </c>
      <c r="F4">
        <f t="shared" si="0"/>
        <v>30000</v>
      </c>
      <c r="G4">
        <f t="shared" si="1"/>
        <v>8.3333333333333332E-3</v>
      </c>
      <c r="I4" s="1">
        <f t="shared" si="2"/>
        <v>1.2</v>
      </c>
    </row>
    <row r="5" spans="3:18" ht="16" x14ac:dyDescent="0.2">
      <c r="C5">
        <v>3600</v>
      </c>
      <c r="F5">
        <f t="shared" si="0"/>
        <v>3600000</v>
      </c>
      <c r="G5">
        <f t="shared" si="1"/>
        <v>1</v>
      </c>
      <c r="I5" s="1">
        <f t="shared" si="2"/>
        <v>0.01</v>
      </c>
      <c r="J5">
        <f>J3/1000</f>
        <v>4294967.2949999999</v>
      </c>
      <c r="K5" t="s">
        <v>5</v>
      </c>
    </row>
    <row r="6" spans="3:18" ht="16" x14ac:dyDescent="0.2">
      <c r="C6">
        <v>10</v>
      </c>
      <c r="F6">
        <f t="shared" si="0"/>
        <v>10000</v>
      </c>
      <c r="G6">
        <f t="shared" si="1"/>
        <v>2.7777777777777779E-3</v>
      </c>
      <c r="I6" s="1">
        <f t="shared" si="2"/>
        <v>3.6</v>
      </c>
      <c r="J6">
        <f>J5/3600</f>
        <v>1193.0464708333334</v>
      </c>
      <c r="K6" t="s">
        <v>2</v>
      </c>
    </row>
    <row r="7" spans="3:18" ht="16" x14ac:dyDescent="0.2">
      <c r="C7">
        <v>1</v>
      </c>
      <c r="F7">
        <f t="shared" si="0"/>
        <v>1000</v>
      </c>
      <c r="G7">
        <f t="shared" si="1"/>
        <v>2.7777777777777778E-4</v>
      </c>
      <c r="I7" s="1">
        <f t="shared" si="2"/>
        <v>36</v>
      </c>
      <c r="J7">
        <f>J6/24</f>
        <v>49.710269618055555</v>
      </c>
      <c r="K7" t="s">
        <v>6</v>
      </c>
    </row>
    <row r="8" spans="3:18" ht="16" x14ac:dyDescent="0.2">
      <c r="C8">
        <v>5</v>
      </c>
      <c r="F8">
        <f t="shared" si="0"/>
        <v>5000</v>
      </c>
      <c r="G8">
        <f t="shared" si="1"/>
        <v>1.3888888888888889E-3</v>
      </c>
      <c r="I8" s="1">
        <f t="shared" si="2"/>
        <v>7.2</v>
      </c>
    </row>
    <row r="9" spans="3:18" ht="16" x14ac:dyDescent="0.2">
      <c r="C9">
        <v>12</v>
      </c>
      <c r="F9">
        <f t="shared" si="0"/>
        <v>12000</v>
      </c>
      <c r="G9">
        <f t="shared" si="1"/>
        <v>3.3333333333333335E-3</v>
      </c>
      <c r="I9" s="1">
        <f t="shared" si="2"/>
        <v>3</v>
      </c>
    </row>
    <row r="12" spans="3:18" ht="16" x14ac:dyDescent="0.2">
      <c r="L12" t="s">
        <v>7</v>
      </c>
      <c r="O12" t="s">
        <v>8</v>
      </c>
    </row>
    <row r="13" spans="3:18" ht="16" x14ac:dyDescent="0.2">
      <c r="D13" t="s">
        <v>9</v>
      </c>
      <c r="E13" s="2">
        <v>0.79131944444444502</v>
      </c>
      <c r="F13" s="2">
        <f t="shared" ref="F13:F24" si="3">E13-E14</f>
        <v>1.1574074075038077E-5</v>
      </c>
      <c r="L13" t="s">
        <v>10</v>
      </c>
      <c r="M13" t="s">
        <v>11</v>
      </c>
      <c r="N13" t="s">
        <v>12</v>
      </c>
      <c r="O13" t="s">
        <v>10</v>
      </c>
      <c r="P13" t="s">
        <v>11</v>
      </c>
      <c r="Q13" t="s">
        <v>12</v>
      </c>
    </row>
    <row r="14" spans="3:18" ht="16" x14ac:dyDescent="0.2">
      <c r="D14" t="s">
        <v>13</v>
      </c>
      <c r="E14" s="2">
        <v>0.79130787037036998</v>
      </c>
      <c r="F14" s="2">
        <f t="shared" si="3"/>
        <v>1.0416666666601682E-4</v>
      </c>
      <c r="I14" t="s">
        <v>14</v>
      </c>
      <c r="J14">
        <v>8.5000000000000006E-3</v>
      </c>
      <c r="K14" t="s">
        <v>15</v>
      </c>
      <c r="L14" s="1">
        <f>58/60</f>
        <v>0.96666666666666667</v>
      </c>
      <c r="M14" s="1">
        <v>0</v>
      </c>
      <c r="N14" s="1">
        <v>0.5</v>
      </c>
      <c r="O14" s="1">
        <f>J14*L14</f>
        <v>8.2166666666666673E-3</v>
      </c>
      <c r="P14" s="1">
        <f>J14*M14</f>
        <v>0</v>
      </c>
      <c r="Q14" s="1">
        <f>J14*N14</f>
        <v>4.2500000000000003E-3</v>
      </c>
    </row>
    <row r="15" spans="3:18" ht="16" x14ac:dyDescent="0.2">
      <c r="D15" t="s">
        <v>9</v>
      </c>
      <c r="E15" s="2">
        <v>0.79120370370370396</v>
      </c>
      <c r="F15" s="2">
        <f t="shared" si="3"/>
        <v>2.3148148147966729E-5</v>
      </c>
      <c r="I15" t="s">
        <v>16</v>
      </c>
      <c r="J15">
        <v>78.5</v>
      </c>
      <c r="K15" t="s">
        <v>15</v>
      </c>
      <c r="L15" s="1">
        <f>2/60</f>
        <v>3.3333333333333333E-2</v>
      </c>
      <c r="M15" s="1">
        <v>1</v>
      </c>
      <c r="N15" s="1">
        <v>0.5</v>
      </c>
      <c r="O15" s="1">
        <f>J15*L15</f>
        <v>2.6166666666666667</v>
      </c>
      <c r="P15" s="1">
        <f>J15*M15</f>
        <v>78.5</v>
      </c>
      <c r="Q15" s="1">
        <f>J15*N15</f>
        <v>39.25</v>
      </c>
    </row>
    <row r="16" spans="3:18" ht="16" x14ac:dyDescent="0.2">
      <c r="D16" t="s">
        <v>13</v>
      </c>
      <c r="E16" s="2">
        <v>0.791180555555556</v>
      </c>
      <c r="F16" s="2">
        <f t="shared" si="3"/>
        <v>9.2592592592977141E-5</v>
      </c>
      <c r="L16" s="1"/>
      <c r="O16" s="3">
        <f>SUM(O14:O15)</f>
        <v>2.6248833333333335</v>
      </c>
      <c r="P16" s="3">
        <f>SUM(P14:P15)</f>
        <v>78.5</v>
      </c>
      <c r="Q16" s="3">
        <f>SUM(Q14:Q15)</f>
        <v>39.254249999999999</v>
      </c>
      <c r="R16" s="4" t="s">
        <v>17</v>
      </c>
    </row>
    <row r="17" spans="4:19" ht="16" x14ac:dyDescent="0.2">
      <c r="D17" t="s">
        <v>9</v>
      </c>
      <c r="E17" s="2">
        <v>0.79108796296296302</v>
      </c>
      <c r="F17" s="2">
        <f t="shared" si="3"/>
        <v>1.1574074074038876E-5</v>
      </c>
      <c r="O17">
        <f>O16*24</f>
        <v>62.997200000000007</v>
      </c>
      <c r="P17">
        <f>P16*24</f>
        <v>1884</v>
      </c>
      <c r="Q17">
        <f>Q16*24</f>
        <v>942.10199999999998</v>
      </c>
      <c r="R17" t="s">
        <v>17</v>
      </c>
      <c r="S17" t="s">
        <v>18</v>
      </c>
    </row>
    <row r="18" spans="4:19" ht="16" x14ac:dyDescent="0.2">
      <c r="D18" t="s">
        <v>13</v>
      </c>
      <c r="E18" s="2">
        <v>0.79107638888888898</v>
      </c>
      <c r="F18" s="2">
        <f t="shared" si="3"/>
        <v>9.2592592592977141E-5</v>
      </c>
    </row>
    <row r="19" spans="4:19" ht="16" x14ac:dyDescent="0.2">
      <c r="D19" t="s">
        <v>9</v>
      </c>
      <c r="E19" s="2">
        <v>0.790983796296296</v>
      </c>
      <c r="F19" s="2">
        <f t="shared" si="3"/>
        <v>0</v>
      </c>
    </row>
    <row r="20" spans="4:19" ht="16" x14ac:dyDescent="0.2">
      <c r="D20" t="s">
        <v>13</v>
      </c>
      <c r="E20" s="2">
        <v>0.790983796296296</v>
      </c>
      <c r="F20" s="2">
        <f t="shared" si="3"/>
        <v>9.259259259197794E-5</v>
      </c>
      <c r="J20" t="s">
        <v>19</v>
      </c>
      <c r="L20" t="s">
        <v>20</v>
      </c>
      <c r="O20" t="s">
        <v>21</v>
      </c>
      <c r="Q20" t="s">
        <v>22</v>
      </c>
    </row>
    <row r="21" spans="4:19" ht="16" x14ac:dyDescent="0.2">
      <c r="D21" t="s">
        <v>9</v>
      </c>
      <c r="E21" s="2">
        <v>0.79089120370370403</v>
      </c>
      <c r="F21" s="2">
        <f t="shared" si="3"/>
        <v>1.1574074074038876E-5</v>
      </c>
      <c r="L21">
        <v>24</v>
      </c>
      <c r="M21">
        <f>O16*L21</f>
        <v>62.997200000000007</v>
      </c>
      <c r="N21" t="str">
        <f>"mA/"&amp;L21&amp;"h"</f>
        <v>mA/24h</v>
      </c>
      <c r="O21">
        <v>5000</v>
      </c>
      <c r="P21" t="s">
        <v>15</v>
      </c>
      <c r="Q21">
        <f>365*M21</f>
        <v>22993.978000000003</v>
      </c>
      <c r="R21" t="s">
        <v>15</v>
      </c>
    </row>
    <row r="22" spans="4:19" ht="16" x14ac:dyDescent="0.2">
      <c r="D22" t="s">
        <v>13</v>
      </c>
      <c r="E22" s="2">
        <v>0.79087962962962999</v>
      </c>
      <c r="F22" s="2">
        <f t="shared" si="3"/>
        <v>8.1018518518938265E-5</v>
      </c>
      <c r="O22" s="5">
        <f>O21/M21</f>
        <v>79.368606858717527</v>
      </c>
      <c r="P22" t="s">
        <v>23</v>
      </c>
    </row>
    <row r="23" spans="4:19" ht="16" x14ac:dyDescent="0.2">
      <c r="D23" t="s">
        <v>9</v>
      </c>
      <c r="E23" s="2">
        <v>0.79079861111111105</v>
      </c>
      <c r="F23" s="2">
        <f t="shared" si="3"/>
        <v>0</v>
      </c>
    </row>
    <row r="24" spans="4:19" ht="16" x14ac:dyDescent="0.2">
      <c r="D24" t="s">
        <v>13</v>
      </c>
      <c r="E24" s="2">
        <v>0.79079861111111105</v>
      </c>
      <c r="F24" s="2">
        <f t="shared" si="3"/>
        <v>0.79079861111111105</v>
      </c>
    </row>
    <row r="27" spans="4:19" ht="16" x14ac:dyDescent="0.2">
      <c r="J27">
        <v>7.0000000000000001E-3</v>
      </c>
    </row>
    <row r="28" spans="4:19" ht="16" x14ac:dyDescent="0.2">
      <c r="J28">
        <f>J14/J27</f>
        <v>1.2142857142857144</v>
      </c>
    </row>
    <row r="31" spans="4:19" ht="16" x14ac:dyDescent="0.2">
      <c r="O31" t="s">
        <v>24</v>
      </c>
    </row>
    <row r="32" spans="4:19" ht="16" x14ac:dyDescent="0.2">
      <c r="L32">
        <v>5100</v>
      </c>
      <c r="M32" t="s">
        <v>25</v>
      </c>
    </row>
    <row r="33" spans="12:23" ht="16" x14ac:dyDescent="0.2">
      <c r="L33">
        <v>3.3</v>
      </c>
      <c r="M33" t="s">
        <v>26</v>
      </c>
    </row>
    <row r="34" spans="12:23" ht="16" x14ac:dyDescent="0.2">
      <c r="L34" s="6">
        <f>L33/L32</f>
        <v>6.4705882352941171E-4</v>
      </c>
      <c r="M34" t="s">
        <v>27</v>
      </c>
      <c r="O34" t="s">
        <v>28</v>
      </c>
      <c r="P34">
        <v>4.2</v>
      </c>
      <c r="R34">
        <f>P34-P35</f>
        <v>0.90000000000000036</v>
      </c>
    </row>
    <row r="35" spans="12:23" ht="16" x14ac:dyDescent="0.2">
      <c r="O35" t="s">
        <v>29</v>
      </c>
      <c r="P35">
        <v>3.3</v>
      </c>
      <c r="R35">
        <f>R34/P35</f>
        <v>0.27272727272727287</v>
      </c>
    </row>
    <row r="36" spans="12:23" ht="16" x14ac:dyDescent="0.2">
      <c r="R36">
        <f>P35/R34</f>
        <v>3.6666666666666652</v>
      </c>
    </row>
    <row r="37" spans="12:23" ht="16" x14ac:dyDescent="0.2">
      <c r="V37" t="s">
        <v>28</v>
      </c>
      <c r="W37" t="s">
        <v>29</v>
      </c>
    </row>
    <row r="38" spans="12:23" ht="16" x14ac:dyDescent="0.2">
      <c r="V38">
        <v>4.2</v>
      </c>
      <c r="W38">
        <v>3.3</v>
      </c>
    </row>
    <row r="39" spans="12:23" ht="16" x14ac:dyDescent="0.2">
      <c r="O39" t="str">
        <f>"Calculations says that R1 must be "&amp;R35&amp;" times the value of R2"</f>
        <v>Calculations says that R1 must be 0,272727272727273 times the value of R2</v>
      </c>
      <c r="V39">
        <v>4</v>
      </c>
      <c r="W39">
        <v>3.14</v>
      </c>
    </row>
    <row r="40" spans="12:23" ht="16" x14ac:dyDescent="0.2">
      <c r="O40" t="str">
        <f>"Calculations says that R2 must be "&amp;R36&amp;" times the value of R1"</f>
        <v>Calculations says that R2 must be 3,66666666666667 times the value of R1</v>
      </c>
      <c r="V40">
        <v>3.8</v>
      </c>
      <c r="W40">
        <v>2.98</v>
      </c>
    </row>
    <row r="41" spans="12:23" ht="16" x14ac:dyDescent="0.2">
      <c r="V41">
        <v>3.6</v>
      </c>
      <c r="W41">
        <v>2.83</v>
      </c>
    </row>
    <row r="42" spans="12:23" ht="16" x14ac:dyDescent="0.2">
      <c r="O42" t="s">
        <v>30</v>
      </c>
      <c r="P42" t="s">
        <v>31</v>
      </c>
      <c r="Q42" t="s">
        <v>17</v>
      </c>
      <c r="R42" t="s">
        <v>32</v>
      </c>
      <c r="S42" t="s">
        <v>33</v>
      </c>
      <c r="V42">
        <v>3.4</v>
      </c>
      <c r="W42">
        <v>2.67</v>
      </c>
    </row>
    <row r="43" spans="12:23" ht="16" x14ac:dyDescent="0.2">
      <c r="O43">
        <v>100000</v>
      </c>
      <c r="P43" s="7">
        <f t="shared" ref="P43:P50" si="4">O43*R$36</f>
        <v>366666.66666666651</v>
      </c>
      <c r="Q43" s="8">
        <f t="shared" ref="Q43:Q50" si="5">8400/(P43+O43)</f>
        <v>1.8000000000000006E-2</v>
      </c>
      <c r="R43" s="8">
        <f t="shared" ref="R43:R50" si="6">P$34*1000/O43</f>
        <v>4.2000000000000003E-2</v>
      </c>
      <c r="S43" s="8">
        <f t="shared" ref="S43:S50" si="7">(O43+P43)/P43</f>
        <v>1.2727272727272729</v>
      </c>
      <c r="V43">
        <v>3.2</v>
      </c>
      <c r="W43">
        <v>2.5099999999999998</v>
      </c>
    </row>
    <row r="44" spans="12:23" ht="16" x14ac:dyDescent="0.2">
      <c r="O44">
        <v>150000</v>
      </c>
      <c r="P44" s="7">
        <f t="shared" si="4"/>
        <v>549999.99999999977</v>
      </c>
      <c r="Q44" s="8">
        <f t="shared" si="5"/>
        <v>1.2000000000000004E-2</v>
      </c>
      <c r="R44" s="8">
        <f t="shared" si="6"/>
        <v>2.8000000000000001E-2</v>
      </c>
      <c r="S44" s="8">
        <f t="shared" si="7"/>
        <v>1.2727272727272729</v>
      </c>
      <c r="V44">
        <v>3</v>
      </c>
      <c r="W44">
        <v>2.35</v>
      </c>
    </row>
    <row r="45" spans="12:23" ht="16" x14ac:dyDescent="0.2">
      <c r="O45">
        <v>220000</v>
      </c>
      <c r="P45" s="7">
        <f t="shared" si="4"/>
        <v>806666.6666666664</v>
      </c>
      <c r="Q45" s="8">
        <f t="shared" si="5"/>
        <v>8.1818181818181842E-3</v>
      </c>
      <c r="R45" s="8">
        <f t="shared" si="6"/>
        <v>1.9090909090909092E-2</v>
      </c>
      <c r="S45" s="8">
        <f t="shared" si="7"/>
        <v>1.2727272727272729</v>
      </c>
      <c r="V45">
        <v>2.8</v>
      </c>
      <c r="W45">
        <v>2.2000000000000002</v>
      </c>
    </row>
    <row r="46" spans="12:23" ht="16" x14ac:dyDescent="0.2">
      <c r="O46">
        <v>300000</v>
      </c>
      <c r="P46" s="7">
        <f t="shared" si="4"/>
        <v>1099999.9999999995</v>
      </c>
      <c r="Q46" s="8">
        <f t="shared" si="5"/>
        <v>6.0000000000000019E-3</v>
      </c>
      <c r="R46" s="8">
        <f t="shared" si="6"/>
        <v>1.4E-2</v>
      </c>
      <c r="S46" s="8">
        <f t="shared" si="7"/>
        <v>1.2727272727272729</v>
      </c>
      <c r="V46">
        <v>2.6</v>
      </c>
      <c r="W46">
        <v>2.04</v>
      </c>
    </row>
    <row r="47" spans="12:23" ht="16" x14ac:dyDescent="0.2">
      <c r="O47" s="9">
        <v>570000</v>
      </c>
      <c r="P47" s="10">
        <f t="shared" si="4"/>
        <v>2089999.9999999991</v>
      </c>
      <c r="Q47" s="8">
        <f t="shared" si="5"/>
        <v>3.1578947368421065E-3</v>
      </c>
      <c r="R47" s="8">
        <f t="shared" si="6"/>
        <v>7.3684210526315788E-3</v>
      </c>
      <c r="S47" s="8">
        <f t="shared" si="7"/>
        <v>1.2727272727272729</v>
      </c>
      <c r="V47">
        <v>2.4</v>
      </c>
      <c r="W47">
        <v>1.88</v>
      </c>
    </row>
    <row r="48" spans="12:23" ht="16" x14ac:dyDescent="0.2">
      <c r="O48">
        <v>330000</v>
      </c>
      <c r="P48" s="7">
        <f t="shared" si="4"/>
        <v>1209999.9999999995</v>
      </c>
      <c r="Q48" s="8">
        <f t="shared" si="5"/>
        <v>5.4545454545454558E-3</v>
      </c>
      <c r="R48" s="8">
        <f t="shared" si="6"/>
        <v>1.2727272727272728E-2</v>
      </c>
      <c r="S48" s="8">
        <f t="shared" si="7"/>
        <v>1.2727272727272729</v>
      </c>
    </row>
    <row r="49" spans="10:23" ht="16" x14ac:dyDescent="0.2">
      <c r="O49">
        <v>470000</v>
      </c>
      <c r="P49" s="7">
        <f t="shared" si="4"/>
        <v>1723333.3333333326</v>
      </c>
      <c r="Q49" s="8">
        <f t="shared" si="5"/>
        <v>3.8297872340425547E-3</v>
      </c>
      <c r="R49" s="8">
        <f t="shared" si="6"/>
        <v>8.9361702127659579E-3</v>
      </c>
      <c r="S49" s="8">
        <f t="shared" si="7"/>
        <v>1.2727272727272729</v>
      </c>
    </row>
    <row r="50" spans="10:23" ht="16" x14ac:dyDescent="0.2">
      <c r="O50">
        <v>680000</v>
      </c>
      <c r="P50" s="7">
        <f t="shared" si="4"/>
        <v>2493333.3333333326</v>
      </c>
      <c r="Q50" s="8">
        <f t="shared" si="5"/>
        <v>2.6470588235294125E-3</v>
      </c>
      <c r="R50" s="8">
        <f t="shared" si="6"/>
        <v>6.1764705882352937E-3</v>
      </c>
      <c r="S50" s="8">
        <f t="shared" si="7"/>
        <v>1.2727272727272727</v>
      </c>
    </row>
    <row r="51" spans="10:23" ht="16" x14ac:dyDescent="0.2">
      <c r="P51" s="7"/>
      <c r="Q51" s="8"/>
    </row>
    <row r="52" spans="10:23" ht="16" x14ac:dyDescent="0.2">
      <c r="V52" t="s">
        <v>34</v>
      </c>
      <c r="W52" s="8">
        <v>1.27</v>
      </c>
    </row>
    <row r="53" spans="10:23" ht="16" x14ac:dyDescent="0.2">
      <c r="P53" t="s">
        <v>35</v>
      </c>
      <c r="R53" s="8" t="s">
        <v>36</v>
      </c>
      <c r="T53" s="8"/>
      <c r="V53" t="s">
        <v>37</v>
      </c>
      <c r="W53" s="8">
        <v>0.01</v>
      </c>
    </row>
    <row r="54" spans="10:23" ht="16" x14ac:dyDescent="0.2">
      <c r="P54">
        <f>W38*1000</f>
        <v>3300</v>
      </c>
      <c r="Q54" t="s">
        <v>26</v>
      </c>
      <c r="R54" s="7">
        <f>P54*W52+W53</f>
        <v>4191.01</v>
      </c>
      <c r="S54" t="s">
        <v>26</v>
      </c>
    </row>
    <row r="55" spans="10:23" ht="16" x14ac:dyDescent="0.2">
      <c r="P55">
        <f>W46*1000</f>
        <v>2040</v>
      </c>
      <c r="Q55" t="s">
        <v>26</v>
      </c>
      <c r="R55" s="7">
        <f>P55*W52+W53</f>
        <v>2590.8100000000004</v>
      </c>
      <c r="S55" t="s">
        <v>26</v>
      </c>
    </row>
    <row r="57" spans="10:23" ht="16" x14ac:dyDescent="0.2">
      <c r="O57" t="s">
        <v>38</v>
      </c>
      <c r="P57">
        <f>P54-P55</f>
        <v>1260</v>
      </c>
      <c r="R57" s="7">
        <f>R54-R55</f>
        <v>1600.1999999999998</v>
      </c>
      <c r="S57" t="s">
        <v>39</v>
      </c>
      <c r="T57" s="11">
        <f>R57/P57</f>
        <v>1.2699999999999998</v>
      </c>
      <c r="V57">
        <v>3.3</v>
      </c>
      <c r="W57">
        <f>V57*T57</f>
        <v>4.1909999999999989</v>
      </c>
    </row>
    <row r="58" spans="10:23" ht="16" x14ac:dyDescent="0.2">
      <c r="J58" t="s">
        <v>40</v>
      </c>
      <c r="P58">
        <f>100000/P57</f>
        <v>79.365079365079367</v>
      </c>
    </row>
    <row r="59" spans="10:23" ht="16" x14ac:dyDescent="0.2">
      <c r="J59" t="str">
        <f>"Cuando el ADC devuelva "&amp;P54&amp;"v en la batería hay "&amp;R54&amp;"v"</f>
        <v>Cuando el ADC devuelva 3300v en la batería hay 4191,01v</v>
      </c>
      <c r="R59">
        <v>3300</v>
      </c>
      <c r="S59" t="s">
        <v>41</v>
      </c>
      <c r="T59">
        <f>200/P57</f>
        <v>0.15873015873015872</v>
      </c>
      <c r="U59" s="7">
        <f>(R59-P55)*T59</f>
        <v>200</v>
      </c>
      <c r="V59" t="s">
        <v>42</v>
      </c>
    </row>
    <row r="60" spans="10:23" ht="16" x14ac:dyDescent="0.2">
      <c r="J60" t="str">
        <f>"Cuando el ADC devuelva "&amp;P55&amp;"v en la batería hay "&amp;R55&amp;"v"</f>
        <v>Cuando el ADC devuelva 2040v en la batería hay 2590,81v</v>
      </c>
    </row>
    <row r="61" spans="10:23" ht="16" x14ac:dyDescent="0.2">
      <c r="J61" t="s">
        <v>43</v>
      </c>
    </row>
    <row r="62" spans="10:23" ht="16" x14ac:dyDescent="0.2">
      <c r="J62" t="s">
        <v>44</v>
      </c>
    </row>
    <row r="63" spans="10:23" ht="15.75" customHeight="1" x14ac:dyDescent="0.2">
      <c r="J63" t="s">
        <v>45</v>
      </c>
    </row>
    <row r="64" spans="10:23" ht="16" x14ac:dyDescent="0.2">
      <c r="O64" t="s">
        <v>28</v>
      </c>
      <c r="P64">
        <v>4.2</v>
      </c>
      <c r="R64">
        <f>P64-P65</f>
        <v>0.90000000000000036</v>
      </c>
    </row>
    <row r="65" spans="15:22" ht="16" x14ac:dyDescent="0.2">
      <c r="O65" t="s">
        <v>29</v>
      </c>
      <c r="P65">
        <v>3.3</v>
      </c>
      <c r="R65">
        <f>R64/P65</f>
        <v>0.27272727272727287</v>
      </c>
    </row>
    <row r="66" spans="15:22" ht="16" x14ac:dyDescent="0.2">
      <c r="P66" s="12"/>
      <c r="R66">
        <f>P65/R64</f>
        <v>3.6666666666666652</v>
      </c>
    </row>
    <row r="68" spans="15:22" ht="16" x14ac:dyDescent="0.2">
      <c r="O68" t="s">
        <v>30</v>
      </c>
      <c r="P68" t="s">
        <v>31</v>
      </c>
      <c r="Q68" t="s">
        <v>17</v>
      </c>
      <c r="R68" t="s">
        <v>32</v>
      </c>
      <c r="S68" t="s">
        <v>33</v>
      </c>
    </row>
    <row r="69" spans="15:22" ht="16" x14ac:dyDescent="0.2">
      <c r="O69">
        <v>100000</v>
      </c>
      <c r="P69" s="7">
        <f t="shared" ref="P69:P85" si="8">O69*R$66</f>
        <v>366666.66666666651</v>
      </c>
      <c r="Q69" s="8">
        <f t="shared" ref="Q69:Q85" si="9">8400/(P69+O69)</f>
        <v>1.8000000000000006E-2</v>
      </c>
      <c r="R69" s="8">
        <f t="shared" ref="R69:R85" si="10">P$34*1000/O69</f>
        <v>4.2000000000000003E-2</v>
      </c>
      <c r="S69" s="8">
        <f t="shared" ref="S69:S85" si="11">(O69+P69)/P69</f>
        <v>1.2727272727272729</v>
      </c>
      <c r="U69">
        <v>4.2</v>
      </c>
      <c r="V69">
        <f>U69/S69</f>
        <v>3.3</v>
      </c>
    </row>
    <row r="70" spans="15:22" ht="16" x14ac:dyDescent="0.2">
      <c r="O70">
        <v>120000</v>
      </c>
      <c r="P70" s="7">
        <f t="shared" si="8"/>
        <v>439999.99999999983</v>
      </c>
      <c r="Q70" s="8">
        <f t="shared" si="9"/>
        <v>1.5000000000000006E-2</v>
      </c>
      <c r="R70" s="8">
        <f t="shared" si="10"/>
        <v>3.5000000000000003E-2</v>
      </c>
      <c r="S70" s="8">
        <f t="shared" si="11"/>
        <v>1.2727272727272727</v>
      </c>
    </row>
    <row r="71" spans="15:22" ht="16" x14ac:dyDescent="0.2">
      <c r="O71">
        <v>150000</v>
      </c>
      <c r="P71" s="7">
        <f t="shared" si="8"/>
        <v>549999.99999999977</v>
      </c>
      <c r="Q71" s="8">
        <f t="shared" si="9"/>
        <v>1.2000000000000004E-2</v>
      </c>
      <c r="R71" s="8">
        <f t="shared" si="10"/>
        <v>2.8000000000000001E-2</v>
      </c>
      <c r="S71" s="8">
        <f t="shared" si="11"/>
        <v>1.2727272727272729</v>
      </c>
    </row>
    <row r="72" spans="15:22" ht="16" x14ac:dyDescent="0.2">
      <c r="O72">
        <v>200000</v>
      </c>
      <c r="P72" s="7">
        <f t="shared" si="8"/>
        <v>733333.33333333302</v>
      </c>
      <c r="Q72" s="8">
        <f t="shared" si="9"/>
        <v>9.0000000000000028E-3</v>
      </c>
      <c r="R72" s="8">
        <f t="shared" si="10"/>
        <v>2.1000000000000001E-2</v>
      </c>
      <c r="S72" s="8">
        <f t="shared" si="11"/>
        <v>1.2727272727272729</v>
      </c>
    </row>
    <row r="73" spans="15:22" ht="16" x14ac:dyDescent="0.2">
      <c r="O73">
        <v>220000</v>
      </c>
      <c r="P73" s="7">
        <f t="shared" si="8"/>
        <v>806666.6666666664</v>
      </c>
      <c r="Q73" s="8">
        <f t="shared" si="9"/>
        <v>8.1818181818181842E-3</v>
      </c>
      <c r="R73" s="8">
        <f t="shared" si="10"/>
        <v>1.9090909090909092E-2</v>
      </c>
      <c r="S73" s="8">
        <f t="shared" si="11"/>
        <v>1.2727272727272729</v>
      </c>
    </row>
    <row r="74" spans="15:22" ht="16" x14ac:dyDescent="0.2">
      <c r="O74">
        <v>27000</v>
      </c>
      <c r="P74" s="7">
        <f t="shared" si="8"/>
        <v>98999.999999999956</v>
      </c>
      <c r="Q74" s="8">
        <f t="shared" si="9"/>
        <v>6.6666666666666693E-2</v>
      </c>
      <c r="R74" s="8">
        <f t="shared" si="10"/>
        <v>0.15555555555555556</v>
      </c>
      <c r="S74" s="8">
        <f t="shared" si="11"/>
        <v>1.2727272727272729</v>
      </c>
    </row>
    <row r="75" spans="15:22" ht="16" x14ac:dyDescent="0.2">
      <c r="O75">
        <v>30000</v>
      </c>
      <c r="P75" s="7">
        <f t="shared" si="8"/>
        <v>109999.99999999996</v>
      </c>
      <c r="Q75" s="8">
        <f t="shared" si="9"/>
        <v>6.0000000000000026E-2</v>
      </c>
      <c r="R75" s="8">
        <f t="shared" si="10"/>
        <v>0.14000000000000001</v>
      </c>
      <c r="S75" s="8">
        <f t="shared" si="11"/>
        <v>1.2727272727272727</v>
      </c>
    </row>
    <row r="76" spans="15:22" ht="16" x14ac:dyDescent="0.2">
      <c r="O76">
        <v>33000</v>
      </c>
      <c r="P76" s="7">
        <f t="shared" si="8"/>
        <v>120999.99999999996</v>
      </c>
      <c r="Q76" s="8">
        <f t="shared" si="9"/>
        <v>5.4545454545454564E-2</v>
      </c>
      <c r="R76" s="8">
        <f t="shared" si="10"/>
        <v>0.12727272727272726</v>
      </c>
      <c r="S76" s="8">
        <f t="shared" si="11"/>
        <v>1.2727272727272727</v>
      </c>
    </row>
    <row r="77" spans="15:22" ht="16" x14ac:dyDescent="0.2">
      <c r="O77">
        <v>39000</v>
      </c>
      <c r="P77" s="7">
        <f t="shared" si="8"/>
        <v>142999.99999999994</v>
      </c>
      <c r="Q77" s="8">
        <f t="shared" si="9"/>
        <v>4.615384615384617E-2</v>
      </c>
      <c r="R77" s="8">
        <f t="shared" si="10"/>
        <v>0.1076923076923077</v>
      </c>
      <c r="S77" s="8">
        <f t="shared" si="11"/>
        <v>1.2727272727272729</v>
      </c>
    </row>
    <row r="78" spans="15:22" ht="16" x14ac:dyDescent="0.2">
      <c r="O78">
        <v>47000</v>
      </c>
      <c r="P78" s="7">
        <f t="shared" si="8"/>
        <v>172333.33333333326</v>
      </c>
      <c r="Q78" s="8">
        <f t="shared" si="9"/>
        <v>3.8297872340425546E-2</v>
      </c>
      <c r="R78" s="8">
        <f t="shared" si="10"/>
        <v>8.9361702127659579E-2</v>
      </c>
      <c r="S78" s="8">
        <f t="shared" si="11"/>
        <v>1.2727272727272729</v>
      </c>
    </row>
    <row r="79" spans="15:22" ht="16" x14ac:dyDescent="0.2">
      <c r="O79">
        <v>51000</v>
      </c>
      <c r="P79" s="7">
        <f t="shared" si="8"/>
        <v>186999.99999999991</v>
      </c>
      <c r="Q79" s="8">
        <f t="shared" si="9"/>
        <v>3.5294117647058837E-2</v>
      </c>
      <c r="R79" s="8">
        <f t="shared" si="10"/>
        <v>8.2352941176470587E-2</v>
      </c>
      <c r="S79" s="8">
        <f t="shared" si="11"/>
        <v>1.2727272727272729</v>
      </c>
    </row>
    <row r="80" spans="15:22" ht="16" x14ac:dyDescent="0.2">
      <c r="O80">
        <v>62000</v>
      </c>
      <c r="P80" s="7">
        <f t="shared" si="8"/>
        <v>227333.33333333326</v>
      </c>
      <c r="Q80" s="8">
        <f t="shared" si="9"/>
        <v>2.9032258064516137E-2</v>
      </c>
      <c r="R80" s="8">
        <f t="shared" si="10"/>
        <v>6.7741935483870974E-2</v>
      </c>
      <c r="S80" s="8">
        <f t="shared" si="11"/>
        <v>1.2727272727272729</v>
      </c>
      <c r="V80" s="1"/>
    </row>
    <row r="81" spans="13:22" ht="16" x14ac:dyDescent="0.2">
      <c r="O81">
        <v>68000</v>
      </c>
      <c r="P81" s="7">
        <f t="shared" si="8"/>
        <v>249333.33333333323</v>
      </c>
      <c r="Q81" s="8">
        <f t="shared" si="9"/>
        <v>2.6470588235294124E-2</v>
      </c>
      <c r="R81" s="8">
        <f t="shared" si="10"/>
        <v>6.1764705882352944E-2</v>
      </c>
      <c r="S81" s="8">
        <f t="shared" si="11"/>
        <v>1.2727272727272729</v>
      </c>
      <c r="V81" s="1"/>
    </row>
    <row r="82" spans="13:22" ht="16" x14ac:dyDescent="0.2">
      <c r="O82">
        <v>75000</v>
      </c>
      <c r="P82" s="7">
        <f t="shared" si="8"/>
        <v>274999.99999999988</v>
      </c>
      <c r="Q82" s="8">
        <f t="shared" si="9"/>
        <v>2.4000000000000007E-2</v>
      </c>
      <c r="R82" s="8">
        <f t="shared" si="10"/>
        <v>5.6000000000000001E-2</v>
      </c>
      <c r="S82" s="8">
        <f t="shared" si="11"/>
        <v>1.2727272727272729</v>
      </c>
      <c r="V82" s="1"/>
    </row>
    <row r="83" spans="13:22" ht="16" x14ac:dyDescent="0.2">
      <c r="O83">
        <v>82000</v>
      </c>
      <c r="P83" s="7">
        <f t="shared" si="8"/>
        <v>300666.66666666657</v>
      </c>
      <c r="Q83" s="8">
        <f t="shared" si="9"/>
        <v>2.1951219512195128E-2</v>
      </c>
      <c r="R83" s="8">
        <f t="shared" si="10"/>
        <v>5.1219512195121948E-2</v>
      </c>
      <c r="S83" s="8">
        <f t="shared" si="11"/>
        <v>1.2727272727272727</v>
      </c>
    </row>
    <row r="84" spans="13:22" ht="16" x14ac:dyDescent="0.2">
      <c r="O84">
        <v>91000</v>
      </c>
      <c r="P84" s="7">
        <f t="shared" si="8"/>
        <v>333666.66666666651</v>
      </c>
      <c r="Q84" s="8">
        <f t="shared" si="9"/>
        <v>1.9780219780219786E-2</v>
      </c>
      <c r="R84" s="8">
        <f t="shared" si="10"/>
        <v>4.6153846153846156E-2</v>
      </c>
      <c r="S84" s="8">
        <f t="shared" si="11"/>
        <v>1.2727272727272729</v>
      </c>
    </row>
    <row r="85" spans="13:22" ht="15.75" customHeight="1" x14ac:dyDescent="0.2">
      <c r="M85" t="s">
        <v>46</v>
      </c>
      <c r="O85" s="14">
        <v>100000</v>
      </c>
      <c r="P85" s="15">
        <v>390000</v>
      </c>
      <c r="Q85" s="8">
        <f t="shared" si="9"/>
        <v>1.7142857142857144E-2</v>
      </c>
      <c r="R85" s="8">
        <f t="shared" si="10"/>
        <v>4.2000000000000003E-2</v>
      </c>
      <c r="S85" s="8">
        <f t="shared" si="11"/>
        <v>1.2564102564102564</v>
      </c>
      <c r="U85">
        <v>4.2</v>
      </c>
      <c r="V85" s="13">
        <f>U85/S85</f>
        <v>3.342857142857143</v>
      </c>
    </row>
    <row r="1048576" ht="16" x14ac:dyDescent="0.2"/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Ignacio Hernandez-Ros</dc:creator>
  <dc:description/>
  <cp:lastModifiedBy>Ignacio Hernández-Ros</cp:lastModifiedBy>
  <cp:revision>1</cp:revision>
  <dcterms:created xsi:type="dcterms:W3CDTF">2025-01-16T11:08:08Z</dcterms:created>
  <dcterms:modified xsi:type="dcterms:W3CDTF">2025-12-27T15:29:18Z</dcterms:modified>
  <dc:language>es-ES</dc:language>
</cp:coreProperties>
</file>